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30" codeName="{899C9086-67A9-5B14-2C2D-5A8001700F7D}"/>
  <workbookPr codeName="BuÇalışmaKitabı" defaultThemeVersion="202300"/>
  <mc:AlternateContent xmlns:mc="http://schemas.openxmlformats.org/markup-compatibility/2006">
    <mc:Choice Requires="x15">
      <x15ac:absPath xmlns:x15ac="http://schemas.microsoft.com/office/spreadsheetml/2010/11/ac" url="C:\Users\baris\OneDrive\Desktop\Uygulamalar\2- Eğitim\Cs2 Price Tracker\"/>
    </mc:Choice>
  </mc:AlternateContent>
  <xr:revisionPtr revIDLastSave="0" documentId="13_ncr:1_{31C09B6E-CF36-41DF-BDB0-A12FBEDC4548}" xr6:coauthVersionLast="47" xr6:coauthVersionMax="47" xr10:uidLastSave="{00000000-0000-0000-0000-000000000000}"/>
  <bookViews>
    <workbookView xWindow="-120" yWindow="-120" windowWidth="29040" windowHeight="15720" xr2:uid="{133E903D-0F97-479A-BF52-D109E59C363F}"/>
  </bookViews>
  <sheets>
    <sheet name="Welcome Page" sheetId="3" r:id="rId1"/>
    <sheet name="Main Data" sheetId="1" r:id="rId2"/>
    <sheet name="Trade Ups" sheetId="5" r:id="rId3"/>
    <sheet name="Item Data" sheetId="2" r:id="rId4"/>
  </sheets>
  <functionGroups builtInGroupCount="19"/>
  <definedNames>
    <definedName name="DışVeri_1" localSheetId="3">'Item Data'!$A$1:$C$7</definedName>
    <definedName name="DışVeri_10" localSheetId="3">'Item Data'!$A$1:$C$7</definedName>
    <definedName name="DışVeri_100" localSheetId="3">'Item Data'!$A$1:$C$8</definedName>
    <definedName name="DışVeri_101" localSheetId="3">'Item Data'!$A$1:$C$8</definedName>
    <definedName name="DışVeri_102" localSheetId="3">'Item Data'!$A$1:$C$8</definedName>
    <definedName name="DışVeri_103" localSheetId="3">'Item Data'!$A$1:$C$8</definedName>
    <definedName name="DışVeri_104" localSheetId="3">'Item Data'!$A$1:$C$8</definedName>
    <definedName name="DışVeri_105" localSheetId="3">'Item Data'!$A$1:$C$8</definedName>
    <definedName name="DışVeri_106" localSheetId="3">'Item Data'!$A$1:$C$8</definedName>
    <definedName name="DışVeri_107" localSheetId="3">'Item Data'!$A$1:$C$8</definedName>
    <definedName name="DışVeri_108" localSheetId="3">'Item Data'!$A$1:$C$8</definedName>
    <definedName name="DışVeri_109" localSheetId="3">'Item Data'!$A$1:$C$8</definedName>
    <definedName name="DışVeri_11" localSheetId="3">'Item Data'!$A$1:$C$7</definedName>
    <definedName name="DışVeri_110" localSheetId="3">'Item Data'!$A$1:$C$8</definedName>
    <definedName name="DışVeri_111" localSheetId="3">'Item Data'!$A$1:$C$8</definedName>
    <definedName name="DışVeri_112" localSheetId="3">'Item Data'!$A$1:$C$8</definedName>
    <definedName name="DışVeri_113" localSheetId="3">'Item Data'!$A$1:$C$8</definedName>
    <definedName name="DışVeri_114" localSheetId="3">'Item Data'!$A$1:$C$8</definedName>
    <definedName name="DışVeri_115" localSheetId="3">'Item Data'!$A$1:$C$8</definedName>
    <definedName name="DışVeri_116" localSheetId="3">'Item Data'!$A$1:$C$13</definedName>
    <definedName name="DışVeri_117" localSheetId="3">'Item Data'!$A$1:$C$13</definedName>
    <definedName name="DışVeri_118" localSheetId="3">'Item Data'!$A$1:$C$13</definedName>
    <definedName name="DışVeri_119" localSheetId="3">'Item Data'!$A$1:$C$13</definedName>
    <definedName name="DışVeri_12" localSheetId="3">'Item Data'!$A$1:$C$7</definedName>
    <definedName name="DışVeri_120" localSheetId="3">'Item Data'!$A$1:$C$13</definedName>
    <definedName name="DışVeri_121" localSheetId="3">'Item Data'!$A$1:$C$13</definedName>
    <definedName name="DışVeri_122" localSheetId="3">'Item Data'!$A$1:$C$13</definedName>
    <definedName name="DışVeri_123" localSheetId="3">'Item Data'!$A$1:$C$13</definedName>
    <definedName name="DışVeri_124" localSheetId="3">'Item Data'!$A$1:$C$13</definedName>
    <definedName name="DışVeri_125" localSheetId="3">'Item Data'!$A$1:$C$13</definedName>
    <definedName name="DışVeri_126" localSheetId="3">'Item Data'!$A$1:$C$13</definedName>
    <definedName name="DışVeri_127" localSheetId="3">'Item Data'!$A$1:$C$13</definedName>
    <definedName name="DışVeri_128" localSheetId="3">'Item Data'!$A$1:$C$13</definedName>
    <definedName name="DışVeri_129" localSheetId="3">'Item Data'!$A$1:$C$13</definedName>
    <definedName name="DışVeri_13" localSheetId="3">'Item Data'!$A$1:$C$7</definedName>
    <definedName name="DışVeri_130" localSheetId="3">'Item Data'!$A$1:$C$13</definedName>
    <definedName name="DışVeri_131" localSheetId="3">'Item Data'!$A$1:$C$13</definedName>
    <definedName name="DışVeri_132" localSheetId="3">'Item Data'!$A$1:$C$13</definedName>
    <definedName name="DışVeri_133" localSheetId="3">'Item Data'!$A$1:$C$13</definedName>
    <definedName name="DışVeri_134" localSheetId="3">'Item Data'!$A$1:$C$13</definedName>
    <definedName name="DışVeri_135" localSheetId="3">'Item Data'!$A$1:$C$13</definedName>
    <definedName name="DışVeri_136" localSheetId="3">'Item Data'!$A$1:$C$13</definedName>
    <definedName name="DışVeri_137" localSheetId="3">'Item Data'!$A$1:$C$13</definedName>
    <definedName name="DışVeri_138" localSheetId="3">'Item Data'!$A$1:$C$13</definedName>
    <definedName name="DışVeri_139" localSheetId="3">'Item Data'!$A$1:$C$13</definedName>
    <definedName name="DışVeri_14" localSheetId="3">'Item Data'!$A$1:$C$7</definedName>
    <definedName name="DışVeri_140" localSheetId="3">'Item Data'!$A$1:$C$13</definedName>
    <definedName name="DışVeri_141" localSheetId="3">'Item Data'!$A$1:$C$13</definedName>
    <definedName name="DışVeri_142" localSheetId="3">'Item Data'!$A$1:$C$13</definedName>
    <definedName name="DışVeri_143" localSheetId="3">'Item Data'!$A$1:$C$13</definedName>
    <definedName name="DışVeri_144" localSheetId="3">'Item Data'!$A$1:$C$13</definedName>
    <definedName name="DışVeri_15" localSheetId="3">'Item Data'!$A$1:$C$8</definedName>
    <definedName name="DışVeri_16" localSheetId="3">'Item Data'!$A$1:$C$8</definedName>
    <definedName name="DışVeri_17" localSheetId="3">'Item Data'!$A$1:$C$8</definedName>
    <definedName name="DışVeri_18" localSheetId="3">'Item Data'!$A$1:$C$8</definedName>
    <definedName name="DışVeri_19" localSheetId="3">'Item Data'!$A$1:$C$8</definedName>
    <definedName name="DışVeri_2" localSheetId="3">'Item Data'!$A$1:$C$7</definedName>
    <definedName name="DışVeri_20" localSheetId="3">'Item Data'!$A$1:$C$8</definedName>
    <definedName name="DışVeri_21" localSheetId="3">'Item Data'!$A$1:$C$8</definedName>
    <definedName name="DışVeri_22" localSheetId="3">'Item Data'!$A$1:$C$8</definedName>
    <definedName name="DışVeri_24" localSheetId="3">'Item Data'!$A$1:$C$8</definedName>
    <definedName name="DışVeri_25" localSheetId="3">'Item Data'!$A$1:$C$8</definedName>
    <definedName name="DışVeri_27" localSheetId="3">'Item Data'!$A$1:$C$8</definedName>
    <definedName name="DışVeri_28" localSheetId="3">'Item Data'!$A$1:$C$8</definedName>
    <definedName name="DışVeri_3" localSheetId="3">'Item Data'!$A$1:$C$7</definedName>
    <definedName name="DışVeri_32" localSheetId="3">'Item Data'!$A$1:$C$8</definedName>
    <definedName name="DışVeri_33" localSheetId="3">'Item Data'!$A$1:$C$8</definedName>
    <definedName name="DışVeri_34" localSheetId="3">'Item Data'!$A$1:$C$8</definedName>
    <definedName name="DışVeri_35" localSheetId="3">'Item Data'!$A$1:$C$8</definedName>
    <definedName name="DışVeri_36" localSheetId="3">'Item Data'!$A$1:$C$8</definedName>
    <definedName name="DışVeri_37" localSheetId="3">'Item Data'!$A$1:$C$8</definedName>
    <definedName name="DışVeri_38" localSheetId="3">'Item Data'!$A$1:$C$8</definedName>
    <definedName name="DışVeri_39" localSheetId="3">'Item Data'!$A$1:$C$8</definedName>
    <definedName name="DışVeri_40" localSheetId="3">'Item Data'!$A$1:$C$8</definedName>
    <definedName name="DışVeri_41" localSheetId="3">'Item Data'!$A$1:$C$8</definedName>
    <definedName name="DışVeri_42" localSheetId="3">'Item Data'!$A$1:$C$8</definedName>
    <definedName name="DışVeri_43" localSheetId="3">'Item Data'!$A$1:$C$8</definedName>
    <definedName name="DışVeri_44" localSheetId="3">'Item Data'!$A$1:$C$8</definedName>
    <definedName name="DışVeri_45" localSheetId="3">'Item Data'!$A$1:$C$8</definedName>
    <definedName name="DışVeri_46" localSheetId="3">'Item Data'!$A$1:$C$8</definedName>
    <definedName name="DışVeri_47" localSheetId="3">'Item Data'!$A$1:$C$8</definedName>
    <definedName name="DışVeri_48" localSheetId="3">'Item Data'!$A$1:$C$8</definedName>
    <definedName name="DışVeri_49" localSheetId="3">'Item Data'!$A$1:$C$8</definedName>
    <definedName name="DışVeri_5" localSheetId="3">'Item Data'!$A$1:$C$7</definedName>
    <definedName name="DışVeri_50" localSheetId="3">'Item Data'!$A$1:$C$8</definedName>
    <definedName name="DışVeri_51" localSheetId="3">'Item Data'!$A$1:$C$10</definedName>
    <definedName name="DışVeri_52" localSheetId="3">'Item Data'!$A$1:$C$10</definedName>
    <definedName name="DışVeri_53" localSheetId="3">'Item Data'!$A$1:$C$10</definedName>
    <definedName name="DışVeri_54" localSheetId="3">'Item Data'!$A$1:$C$10</definedName>
    <definedName name="DışVeri_55" localSheetId="3">'Item Data'!$A$1:$C$11</definedName>
    <definedName name="DışVeri_56" localSheetId="3">'Item Data'!$A$1:$C$12</definedName>
    <definedName name="DışVeri_57" localSheetId="3">'Item Data'!$A$1:$C$12</definedName>
    <definedName name="DışVeri_58" localSheetId="3">'Item Data'!$A$1:$C$12</definedName>
    <definedName name="DışVeri_59" localSheetId="3">'Item Data'!$A$1:$C$12</definedName>
    <definedName name="DışVeri_6" localSheetId="3">'Item Data'!$A$1:$C$7</definedName>
    <definedName name="DışVeri_60" localSheetId="3">'Item Data'!$A$1:$C$12</definedName>
    <definedName name="DışVeri_61" localSheetId="3">'Item Data'!$A$1:$C$12</definedName>
    <definedName name="DışVeri_62" localSheetId="3">'Item Data'!$A$1:$C$12</definedName>
    <definedName name="DışVeri_63" localSheetId="3">'Item Data'!$A$1:$C$12</definedName>
    <definedName name="DışVeri_64" localSheetId="3">'Item Data'!$A$1:$C$12</definedName>
    <definedName name="DışVeri_65" localSheetId="3">'Item Data'!$A$1:$C$12</definedName>
    <definedName name="DışVeri_66" localSheetId="3">'Item Data'!$A$1:$C$12</definedName>
    <definedName name="DışVeri_67" localSheetId="3">'Item Data'!$A$1:$C$12</definedName>
    <definedName name="DışVeri_68" localSheetId="3">'Item Data'!$A$1:$C$12</definedName>
    <definedName name="DışVeri_69" localSheetId="3">'Item Data'!$A$1:$C$12</definedName>
    <definedName name="DışVeri_7" localSheetId="3">'Item Data'!$A$1:$C$7</definedName>
    <definedName name="DışVeri_70" localSheetId="3">'Item Data'!$A$1:$C$8</definedName>
    <definedName name="DışVeri_71" localSheetId="3">'Item Data'!$A$1:$C$8</definedName>
    <definedName name="DışVeri_72" localSheetId="3">'Item Data'!$A$1:$C$8</definedName>
    <definedName name="DışVeri_73" localSheetId="3">'Item Data'!$A$1:$C$8</definedName>
    <definedName name="DışVeri_74" localSheetId="3">'Item Data'!$A$1:$C$8</definedName>
    <definedName name="DışVeri_75" localSheetId="3">'Item Data'!$A$1:$C$8</definedName>
    <definedName name="DışVeri_76" localSheetId="3">'Item Data'!$A$1:$C$8</definedName>
    <definedName name="DışVeri_77" localSheetId="3">'Item Data'!$A$1:$C$8</definedName>
    <definedName name="DışVeri_78" localSheetId="3">'Item Data'!$A$1:$C$8</definedName>
    <definedName name="DışVeri_79" localSheetId="3">'Item Data'!$A$1:$C$6</definedName>
    <definedName name="DışVeri_8" localSheetId="3">'Item Data'!$A$1:$C$7</definedName>
    <definedName name="DışVeri_80" localSheetId="3">'Item Data'!$A$1:$C$6</definedName>
    <definedName name="DışVeri_81" localSheetId="3">'Item Data'!$A$1:$C$6</definedName>
    <definedName name="DışVeri_82" localSheetId="3">'Item Data'!$A$1:$C$8</definedName>
    <definedName name="DışVeri_83" localSheetId="3">'Item Data'!$A$1:$C$8</definedName>
    <definedName name="DışVeri_84" localSheetId="3">'Item Data'!$A$1:$C$8</definedName>
    <definedName name="DışVeri_85" localSheetId="3">'Item Data'!$A$1:$C$8</definedName>
    <definedName name="DışVeri_86" localSheetId="3">'Item Data'!$A$1:$C$8</definedName>
    <definedName name="DışVeri_87" localSheetId="3">'Item Data'!$A$1:$C$8</definedName>
    <definedName name="DışVeri_88" localSheetId="3">'Item Data'!$A$1:$C$8</definedName>
    <definedName name="DışVeri_89" localSheetId="3">'Item Data'!$A$1:$C$8</definedName>
    <definedName name="DışVeri_9" localSheetId="3">'Item Data'!$A$1:$C$7</definedName>
    <definedName name="DışVeri_90" localSheetId="3">'Item Data'!$A$1:$C$8</definedName>
    <definedName name="DışVeri_91" localSheetId="3">'Item Data'!$A$1:$C$8</definedName>
    <definedName name="DışVeri_92" localSheetId="3">'Item Data'!$A$1:$C$8</definedName>
    <definedName name="DışVeri_93" localSheetId="3">'Item Data'!$A$1:$C$8</definedName>
    <definedName name="DışVeri_94" localSheetId="3">'Item Data'!$A$1:$C$8</definedName>
    <definedName name="DışVeri_95" localSheetId="3">'Item Data'!$A$1:$C$8</definedName>
    <definedName name="DışVeri_96" localSheetId="3">'Item Data'!$A$1:$C$8</definedName>
    <definedName name="DışVeri_97" localSheetId="3">'Item Data'!$A$1:$C$8</definedName>
    <definedName name="DışVeri_98" localSheetId="3">'Item Data'!$A$1:$C$8</definedName>
    <definedName name="DışVeri_99" localSheetId="3">'Item Data'!$A$1:$C$8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6" i="5" s="1"/>
  <c r="D11" i="1"/>
  <c r="D7" i="5" s="1"/>
  <c r="D12" i="1"/>
  <c r="D8" i="5" s="1"/>
  <c r="D13" i="1"/>
  <c r="D9" i="5" s="1"/>
  <c r="E10" i="1"/>
  <c r="E6" i="5" s="1"/>
  <c r="E11" i="1"/>
  <c r="E7" i="5" s="1"/>
  <c r="E12" i="1"/>
  <c r="E8" i="5" s="1"/>
  <c r="E13" i="1"/>
  <c r="E9" i="5" s="1"/>
  <c r="D9" i="1"/>
  <c r="D5" i="5" s="1"/>
  <c r="E9" i="1"/>
  <c r="E5" i="5" s="1"/>
  <c r="E2" i="1"/>
  <c r="E3" i="1"/>
  <c r="E4" i="1"/>
  <c r="E5" i="1"/>
  <c r="E6" i="1"/>
  <c r="E7" i="1"/>
  <c r="E8" i="1"/>
  <c r="E4" i="5" s="1"/>
  <c r="D2" i="1"/>
  <c r="D3" i="1"/>
  <c r="D4" i="1"/>
  <c r="D5" i="1"/>
  <c r="D6" i="1"/>
  <c r="D7" i="1"/>
  <c r="D8" i="1"/>
  <c r="D4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0DAB1A-77D3-40C2-B52B-DFE04592D834}" name="price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2" xr16:uid="{AC23CF5A-1EF9-482F-B7FA-030EC838878C}" name="price_2024-11-30 02.28.32" type="6" refreshedVersion="8" background="1" saveData="1">
    <textPr prompt="0" sourceFile="C:\Users\baris\OneDrive\Desktop\Cs2 Price Tracker\Data\price_2024-11-30 02.28.32.csv" decimal="," thousands="." tab="0" comma="1">
      <textFields>
        <textField/>
      </textFields>
    </textPr>
  </connection>
  <connection id="3" xr16:uid="{943D0D4F-3A8B-43AC-8AC4-2B6B522EF9A4}" name="price_2024-11-30 02.29.36" type="6" refreshedVersion="8" background="1" saveData="1">
    <textPr prompt="0" sourceFile="C:\Users\baris\OneDrive\Desktop\Cs2 Price Tracker\Data\price_2024-11-30 02.29.36.csv" decimal="," thousands="." tab="0" comma="1">
      <textFields>
        <textField/>
      </textFields>
    </textPr>
  </connection>
  <connection id="4" xr16:uid="{FF2B43B9-8765-4856-B2C7-9D6178BFDB33}" name="price_2024-11-30 02.31.07" type="6" refreshedVersion="8" background="1" saveData="1">
    <textPr prompt="0" sourceFile="C:\Users\baris\OneDrive\Desktop\Cs2 Price Tracker\Data\price_2024-11-30 02.31.07.csv" decimal="," thousands="." tab="0" comma="1">
      <textFields>
        <textField/>
      </textFields>
    </textPr>
  </connection>
  <connection id="5" xr16:uid="{9F38CC27-4976-49B6-8CE1-D58BDA239B18}" name="price_2024-11-30 02.35.03" type="6" refreshedVersion="8" background="1" saveData="1">
    <textPr prompt="0" sourceFile="C:\Users\baris\OneDrive\Desktop\Cs2 Price Tracker\Data\price_2024-11-30 02.35.03.csv" decimal="," thousands="." tab="0" comma="1">
      <textFields>
        <textField/>
      </textFields>
    </textPr>
  </connection>
  <connection id="6" xr16:uid="{505EE53F-FB2F-4443-AA05-0C209196E222}" name="price_2024-11-30 02.36.50" type="6" refreshedVersion="8" background="1" saveData="1">
    <textPr prompt="0" sourceFile="C:\Users\baris\OneDrive\Desktop\Cs2 Price Tracker\Data\price_2024-11-30 02.36.50.csv" decimal="," thousands="." tab="0" comma="1">
      <textFields>
        <textField/>
      </textFields>
    </textPr>
  </connection>
  <connection id="7" xr16:uid="{8D04E9CE-5514-43B0-B932-10070B007408}" name="price_2024-12-04 16.03.55" type="6" refreshedVersion="8" background="1" saveData="1">
    <textPr prompt="0" sourceFile="C:\Users\baris\OneDrive\Desktop\Cs2 Price Tracker\Data\price_2024-12-04 16.03.55.csv" decimal="," thousands="." tab="0" comma="1">
      <textFields>
        <textField/>
      </textFields>
    </textPr>
  </connection>
  <connection id="8" xr16:uid="{4E6FA79F-57E8-48E9-BCDC-D68A6EF44921}" name="price_2024-12-09 14.20.04" type="6" refreshedVersion="8" background="1" saveData="1">
    <textPr prompt="0" sourceFile="C:\Users\baris\OneDrive\Desktop\Uygulamalar\2- Eğitim\Cs2 Price Tracker\Data\price_2024-12-09 14.20.04.csv" decimal="," thousands="." tab="0" comma="1">
      <textFields>
        <textField/>
      </textFields>
    </textPr>
  </connection>
  <connection id="9" xr16:uid="{15675476-0EAD-45D6-8191-1E29F1EB7831}" name="price1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10" xr16:uid="{62BB3A0E-A08A-4850-91F4-D2AAF8ED7E47}" name="price10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11" xr16:uid="{71724489-298A-42FE-AE14-10A7254E0F6C}" name="price100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2" xr16:uid="{93F6A39C-9629-4891-873B-40E4C06B8BD5}" name="price101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3" xr16:uid="{0C3C7453-02E6-4D3C-BA54-07FF663B3A2E}" name="price102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4" xr16:uid="{8D3C81DD-F613-45F1-9C6D-1AD002E79744}" name="price103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5" xr16:uid="{B6546AAD-BCDD-4BDC-B1C2-61CF8DCAA0B1}" name="price104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6" xr16:uid="{B1F40B68-31C3-465C-A8A9-5BC4EFDC921B}" name="price105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7" xr16:uid="{83985B68-9212-4E0D-AC78-8CE7EFA5CE59}" name="price106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8" xr16:uid="{DBCC07E0-EAC2-4E32-870D-6D38B6853F5D}" name="price107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9" xr16:uid="{70ED58B8-7A08-41F5-AED2-6E2887441AF3}" name="price108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20" xr16:uid="{11EB9A21-DEBC-4E95-9F8C-28F5D4C960A9}" name="price109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21" xr16:uid="{E5AC448E-190C-459F-8ED4-19EAF45D0D7A}" name="price11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22" xr16:uid="{E3BD0904-A22C-4D19-9042-E3B76B42CC70}" name="price110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23" xr16:uid="{EBE93047-BAF1-41A4-B6FC-67464DA2D6A6}" name="price111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24" xr16:uid="{F20FD444-D403-4B83-B728-2546F76A151A}" name="price112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25" xr16:uid="{441081FC-E3CC-419C-BB1E-45A979C74F88}" name="price113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26" xr16:uid="{E937E239-61D9-4CAA-BAED-E756EB6EAAE4}" name="price114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27" xr16:uid="{FAD5FD3A-53BA-4D4A-ABF5-01708C1DDD0D}" name="price115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28" xr16:uid="{7E08AC25-2F53-4DE3-AA4D-EEBDFC94CEEA}" name="price116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29" xr16:uid="{FB78086C-7175-42B5-AF68-F629350E4F36}" name="price117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30" xr16:uid="{54D9DBC7-E2A3-4B28-B3BF-55A270D0259D}" name="price118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31" xr16:uid="{56258944-C764-4A61-A603-70911C269936}" name="price119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32" xr16:uid="{97552DB7-E5A7-44A3-B4C2-2ED60D5071B6}" name="price12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33" xr16:uid="{797B7EE4-E25F-44CD-939D-AB37E7D186DA}" name="price120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34" xr16:uid="{51E00CB0-EA69-4799-A78A-806DDB8D63CA}" name="price121" type="6" refreshedVersion="8" background="1" saveData="1">
    <textPr prompt="0" sourceFile="C:\Users\baris\OneDrive\Desktop\Uygulamalar\2- Okul\Cs2 Price Tracker\scripts\price.csv" decimal="," thousands="." tab="0" comma="1">
      <textFields>
        <textField/>
      </textFields>
    </textPr>
  </connection>
  <connection id="35" xr16:uid="{98426F75-9C92-409E-A89B-26FEC80BD112}" name="price122" type="6" refreshedVersion="8" background="1" saveData="1">
    <textPr prompt="0" sourceFile="C:\Users\baris\OneDrive\Desktop\Uygulamalar\2- Okul\Cs2 Price Tracker\scripts\price.csv" decimal="," thousands="." tab="0" comma="1">
      <textFields>
        <textField/>
      </textFields>
    </textPr>
  </connection>
  <connection id="36" xr16:uid="{12348F27-9FCA-4928-9109-1A89E08B42E9}" name="price123" type="6" refreshedVersion="8" background="1" saveData="1">
    <textPr prompt="0" sourceFile="C:\Users\baris\OneDrive\Desktop\Uygulamalar\2- Okul\Cs2 Price Tracker\scripts\price.csv" decimal="," thousands="." tab="0" comma="1">
      <textFields>
        <textField/>
      </textFields>
    </textPr>
  </connection>
  <connection id="37" xr16:uid="{928BD96B-F512-4CC4-AE8C-242BA412339A}" name="price124" type="6" refreshedVersion="8" background="1" saveData="1">
    <textPr prompt="0" sourceFile="C:\Users\baris\OneDrive\Desktop\Uygulamalar\2- Okul\Cs2 Price Tracker\scripts\price.csv" decimal="," thousands="." tab="0" comma="1">
      <textFields>
        <textField/>
      </textFields>
    </textPr>
  </connection>
  <connection id="38" xr16:uid="{80713C95-7F42-4383-89BD-5A5A4718E7FF}" name="price125" type="6" refreshedVersion="8" background="1" saveData="1">
    <textPr prompt="0" sourceFile="C:\Users\baris\OneDrive\Desktop\Uygulamalar\2- Eğitim\Cs2 Price Tracker\scripts\price.csv" decimal="," thousands="." tab="0" comma="1">
      <textFields>
        <textField/>
      </textFields>
    </textPr>
  </connection>
  <connection id="39" xr16:uid="{3F95EFBF-B274-4432-BF3F-B4AED490B148}" name="price126" type="6" refreshedVersion="8" background="1" saveData="1">
    <textPr prompt="0" sourceFile="C:\Users\baris\OneDrive\Desktop\Uygulamalar\2- Eğitim\Cs2 Price Tracker\scripts\price.csv" decimal="," thousands="." tab="0" comma="1">
      <textFields>
        <textField/>
      </textFields>
    </textPr>
  </connection>
  <connection id="40" xr16:uid="{E7E46F35-E7E3-41F1-AA0D-30C1DC3B44E6}" name="price127" type="6" refreshedVersion="8" background="1" saveData="1">
    <textPr prompt="0" sourceFile="C:\Users\baris\OneDrive\Desktop\Uygulamalar\2- Eğitim\Cs2 Price Tracker\scripts\price.csv" decimal="," thousands="." tab="0" comma="1">
      <textFields>
        <textField/>
      </textFields>
    </textPr>
  </connection>
  <connection id="41" xr16:uid="{59D4A31B-572A-434B-99B2-BB5CDC1C447B}" name="price128" type="6" refreshedVersion="8" background="1" saveData="1">
    <textPr prompt="0" sourceFile="C:\Users\baris\OneDrive\Desktop\Uygulamalar\2- Eğitim\Cs2 Price Tracker\scripts\price.csv" decimal="," thousands="." tab="0" comma="1">
      <textFields>
        <textField/>
      </textFields>
    </textPr>
  </connection>
  <connection id="42" xr16:uid="{B1F9B32F-6581-40B8-895A-BCB1FC373134}" name="price129" type="6" refreshedVersion="8" background="1" saveData="1">
    <textPr prompt="0" sourceFile="C:\Users\baris\OneDrive\Desktop\Uygulamalar\2- Eğitim\Cs2 Price Tracker\scripts\price.csv" decimal="," thousands="." tab="0" comma="1">
      <textFields>
        <textField/>
      </textFields>
    </textPr>
  </connection>
  <connection id="43" xr16:uid="{ABB0D108-BB0C-4BC7-831A-5811ADC3A8E7}" name="price13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44" xr16:uid="{6A2F571D-B8FA-40F4-9BF7-6DE50DFEE20B}" name="price130" type="6" refreshedVersion="8" background="1" saveData="1">
    <textPr prompt="0" sourceFile="C:\Users\baris\OneDrive\Desktop\Uygulamalar\2- Eğitim\Cs2 Price Tracker\scripts\price.csv" decimal="," thousands="." tab="0" comma="1">
      <textFields>
        <textField/>
      </textFields>
    </textPr>
  </connection>
  <connection id="45" xr16:uid="{3150A5EE-27C3-45E8-AE5A-FEE68DC9EAD7}" name="price14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46" xr16:uid="{47EC7921-76DB-49D4-948A-A368465B8FC5}" name="price15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47" xr16:uid="{8E5CA160-2A69-4DBB-A7A1-FDC02AAF752C}" name="price16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48" xr16:uid="{7F23E424-68CF-47DA-B709-46E31C02539E}" name="price17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49" xr16:uid="{F92A71EA-92C8-4E37-B8C0-F1EF60B4CB50}" name="price18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50" xr16:uid="{7F66737D-F3EA-4194-9578-05181F63FD64}" name="price19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51" xr16:uid="{59D4781E-A040-4522-BAFF-3006C2304D6C}" name="price2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52" xr16:uid="{4A47A48D-B3D3-44B2-9785-AA6E760400D9}" name="price20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53" xr16:uid="{C135D5A2-C83C-4EE4-9C7F-680E8C8EB5A6}" name="price21" type="6" refreshedVersion="8" background="1" saveData="1">
    <textPr prompt="0" sourceFile="C:\Users\baris\OneDrive\Desktop\Cs2 Price Tracker\backside\price.csv" decimal="," thousands="." tab="0" comma="1">
      <textFields>
        <textField/>
      </textFields>
    </textPr>
  </connection>
  <connection id="54" xr16:uid="{2A5B3FB4-3535-4B7A-BDCA-E1ED5FB471B8}" name="price22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55" xr16:uid="{CE757A29-F037-4DF8-9823-402CDA4806E5}" name="price23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56" xr16:uid="{FD33B18F-37FA-43F6-B645-526CC0AD3E70}" name="price24" type="6" refreshedVersion="8" background="1" saveData="1">
    <textPr prompt="0" sourceFile="C:\Users\baris\OneDrive\Desktop\Cs2 Price Tracker\backside\price.csv" decimal="," thousands="." tab="0" comma="1">
      <textFields>
        <textField/>
      </textFields>
    </textPr>
  </connection>
  <connection id="57" xr16:uid="{4B0B8A81-2BEE-45C6-A855-C49838129D28}" name="price25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58" xr16:uid="{08AB907E-E5C8-4AD7-BCE0-C909E232FBD0}" name="price26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59" xr16:uid="{AF3174B7-5CED-4467-A1E1-20CFD3EAF2AF}" name="price27" type="6" refreshedVersion="8" background="1" saveData="1">
    <textPr prompt="0" sourceFile="C:\Users\baris\OneDrive\Desktop\Cs2 Price Tracker\backside\price.csv" decimal="," thousands="." tab="0" comma="1">
      <textFields>
        <textField/>
      </textFields>
    </textPr>
  </connection>
  <connection id="60" xr16:uid="{91E09D3E-8B99-4B8D-94B8-A77464D04AC7}" name="price28" type="6" refreshedVersion="8" background="1" saveData="1">
    <textPr prompt="0" sourceFile="C:\Users\baris\OneDrive\Desktop\Cs2 Price Tracker\backside\price.csv" decimal="," thousands="." tab="0" comma="1">
      <textFields>
        <textField/>
      </textFields>
    </textPr>
  </connection>
  <connection id="61" xr16:uid="{8FDCFE2F-77C2-4FF9-8CE9-57C6F13CF8B9}" name="price29" type="6" refreshedVersion="8" background="1" saveData="1">
    <textPr prompt="0" sourceFile="C:\Users\baris\OneDrive\Desktop\Cs2 Price Tracker\backside\price.csv" decimal="," thousands="." tab="0" comma="1">
      <textFields>
        <textField/>
      </textFields>
    </textPr>
  </connection>
  <connection id="62" xr16:uid="{CFEC17AE-AADB-4F13-AE42-03BD303A49F4}" name="price3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63" xr16:uid="{118E799F-FD6F-4F83-8668-767A70106F67}" name="price30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64" xr16:uid="{B8F151FC-A033-4232-9DCC-E1578DB777EF}" name="price31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65" xr16:uid="{2B26D326-B32E-4405-9B16-3D984BC89B54}" name="price32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66" xr16:uid="{DF60244D-96A9-49FB-A748-0477D0BFD5A2}" name="price33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67" xr16:uid="{98964333-383D-4D3A-963A-5CF20BE62858}" name="price34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68" xr16:uid="{52FAC2AB-5CFF-4652-BAF0-285A19667A10}" name="price35" type="6" refreshedVersion="8" background="1" saveData="1">
    <textPr prompt="0" sourceFile="C:\Users\baris\OneDrive\Desktop\Cs2 Price Tracker\backside\price.csv" decimal="," thousands="." tab="0" comma="1">
      <textFields>
        <textField/>
      </textFields>
    </textPr>
  </connection>
  <connection id="69" xr16:uid="{898113F1-4BA0-43BC-A48D-36AFC509D715}" name="price36" type="6" refreshedVersion="8" background="1" saveData="1">
    <textPr prompt="0" sourceFile="C:\Users\baris\OneDrive\Desktop\Cs2 Price Tracker\backside\price.csv" decimal="," thousands="." tab="0" comma="1">
      <textFields>
        <textField/>
      </textFields>
    </textPr>
  </connection>
  <connection id="70" xr16:uid="{76D2DFDF-33DB-4DF9-84BE-1145BED9EC5F}" name="price37" type="6" refreshedVersion="8" background="1" saveData="1">
    <textPr prompt="0" sourceFile="C:\Users\baris\OneDrive\Desktop\Cs2 Price Tracker\backside\price.csv" decimal="," thousands="." tab="0" comma="1">
      <textFields>
        <textField/>
      </textFields>
    </textPr>
  </connection>
  <connection id="71" xr16:uid="{0039BB75-358E-416B-9291-BBD5010705D6}" name="price38" type="6" refreshedVersion="8" background="1" saveData="1">
    <textPr prompt="0" sourceFile="C:\Users\baris\OneDrive\Desktop\Cs2 Price Tracker\backside\price.csv" decimal="," thousands="." tab="0" comma="1">
      <textFields>
        <textField/>
      </textFields>
    </textPr>
  </connection>
  <connection id="72" xr16:uid="{70ECD3C2-6B29-400D-9D9B-D0CD3CF03923}" name="price39" type="6" refreshedVersion="8" background="1" saveData="1">
    <textPr prompt="0" sourceFile="C:\Users\baris\OneDrive\Desktop\Cs2 Price Tracker\backside\price.csv" decimal="," thousands="." tab="0" comma="1">
      <textFields>
        <textField/>
      </textFields>
    </textPr>
  </connection>
  <connection id="73" xr16:uid="{01611861-A4C0-446F-BCBE-38D7039E87E9}" name="price4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74" xr16:uid="{D89A4E85-CC52-4A86-A977-07EC0396F0D2}" name="price40" type="6" refreshedVersion="8" background="1" saveData="1">
    <textPr prompt="0" sourceFile="C:\Users\baris\OneDrive\Desktop\Uygulamalar\Cs2 Price Tracker\backside\price.csv" decimal="," thousands="." tab="0" comma="1">
      <textFields>
        <textField/>
      </textFields>
    </textPr>
  </connection>
  <connection id="75" xr16:uid="{AC04A9BA-453D-4C4A-A144-BCFE47A0BD7F}" name="price41" type="6" refreshedVersion="8" background="1" saveData="1">
    <textPr prompt="0" sourceFile="C:\Users\baris\OneDrive\Desktop\Uygulamalar\Cs2 Price Tracker\backside\price.csv" decimal="," thousands="." tab="0" comma="1">
      <textFields>
        <textField/>
      </textFields>
    </textPr>
  </connection>
  <connection id="76" xr16:uid="{441F89D0-DA84-4E8E-A16F-EF36308D3D7A}" name="price42" type="6" refreshedVersion="8" background="1" saveData="1">
    <textPr prompt="0" sourceFile="C:\Users\baris\OneDrive\Desktop\Uygulamalar\Cs2 Price Tracker\backside\price.csv" decimal="," thousands="." tab="0" comma="1">
      <textFields>
        <textField/>
      </textFields>
    </textPr>
  </connection>
  <connection id="77" xr16:uid="{0467F883-D152-4C86-8D3F-E1ADCDD584D4}" name="price43" type="6" refreshedVersion="8" background="1" saveData="1">
    <textPr prompt="0" sourceFile="C:\Users\baris\OneDrive\Desktop\Uygulamalar\Cs2 Price Tracker\backside\price.csv" decimal="," thousands="." tab="0" comma="1">
      <textFields>
        <textField/>
      </textFields>
    </textPr>
  </connection>
  <connection id="78" xr16:uid="{9D88AA50-725D-41BE-8271-9A1BF9E456EB}" name="price44" type="6" refreshedVersion="8" background="1" saveData="1">
    <textPr prompt="0" sourceFile="C:\Users\baris\OneDrive\Desktop\Uygulamalar\Cs2 Price Tracker\backside\price.csv" decimal="," thousands="." tab="0" comma="1">
      <textFields>
        <textField/>
      </textFields>
    </textPr>
  </connection>
  <connection id="79" xr16:uid="{9102C78F-1215-420C-97AE-33B21E8EEBD8}" name="price45" type="6" refreshedVersion="8" background="1" saveData="1">
    <textPr prompt="0" sourceFile="C:\Users\baris\OneDrive\Desktop\Uygulamalar\Cs2 Price Tracker\backside\price.csv" decimal="," thousands="." tab="0" comma="1">
      <textFields>
        <textField/>
      </textFields>
    </textPr>
  </connection>
  <connection id="80" xr16:uid="{775788F3-C369-48EB-9E37-88F1118422DE}" name="price46" type="6" refreshedVersion="8" background="1" saveData="1">
    <textPr prompt="0" sourceFile="C:\Users\baris\OneDrive\Desktop\Uygulamalar\1- Gerekliler\Cs2 Price Tracker\backside\price.csv" decimal="," thousands="." tab="0" comma="1">
      <textFields>
        <textField/>
      </textFields>
    </textPr>
  </connection>
  <connection id="81" xr16:uid="{C56E8623-F75B-4AAA-B028-4C734AB1A60A}" name="price47" type="6" refreshedVersion="8" background="1" saveData="1">
    <textPr prompt="0" sourceFile="C:\Users\baris\OneDrive\Desktop\Cs2 Price Tracker\backside\price.csv" decimal="," thousands="." tab="0" comma="1">
      <textFields>
        <textField/>
      </textFields>
    </textPr>
  </connection>
  <connection id="82" xr16:uid="{D38A1013-7DC6-4C29-B481-6B45305A16C6}" name="price48" type="6" refreshedVersion="8" background="1" saveData="1">
    <textPr prompt="0" sourceFile="C:\Users\baris\OneDrive\Desktop\Cs2 Price Tracker\backside\price.csv" decimal="," thousands="." tab="0" comma="1">
      <textFields>
        <textField/>
      </textFields>
    </textPr>
  </connection>
  <connection id="83" xr16:uid="{36BF74C4-D23A-4746-B6EA-AA974371B282}" name="price49" type="6" refreshedVersion="8" background="1" saveData="1">
    <textPr prompt="0" sourceFile="C:\Users\baris\OneDrive\Desktop\Cs2 Price Tracker\backside\price.csv" decimal="," thousands="." tab="0" comma="1">
      <textFields>
        <textField/>
      </textFields>
    </textPr>
  </connection>
  <connection id="84" xr16:uid="{6F6A58C3-4045-4C60-82E6-2EB48F5FE871}" name="price5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85" xr16:uid="{A3B4EBE1-F97D-411E-BC40-A20812C11B8D}" name="price50" type="6" refreshedVersion="8" background="1" saveData="1">
    <textPr prompt="0" sourceFile="C:\Users\baris\OneDrive\Desktop\Cs2 Price Tracker\backside\price.csv" decimal="," thousands="." tab="0" comma="1">
      <textFields>
        <textField/>
      </textFields>
    </textPr>
  </connection>
  <connection id="86" xr16:uid="{458552D3-963D-441B-8578-76119DF32302}" name="price51" type="6" refreshedVersion="8" background="1" saveData="1">
    <textPr prompt="0" sourceFile="C:\Users\baris\OneDrive\Desktop\Cs2 Price Tracker\backside\price.csv" decimal="," thousands="." tab="0" comma="1">
      <textFields>
        <textField/>
      </textFields>
    </textPr>
  </connection>
  <connection id="87" xr16:uid="{A7A12140-7AD7-4B19-B1A3-B98F7BCFA056}" name="price52" type="6" refreshedVersion="8" background="1" saveData="1">
    <textPr prompt="0" sourceFile="C:\Users\baris\OneDrive\Desktop\Cs2 Price Tracker\backside\price.csv" decimal="," thousands="." tab="0" comma="1">
      <textFields>
        <textField/>
      </textFields>
    </textPr>
  </connection>
  <connection id="88" xr16:uid="{83D1B413-9E4C-4F6B-AC3B-189CEF7A38CA}" name="price53" type="6" refreshedVersion="8" background="1" saveData="1">
    <textPr prompt="0" sourceFile="C:\Users\baris\OneDrive\Desktop\Cs2 Price Tracker\backside\price.csv" decimal="," thousands="." tab="0" comma="1">
      <textFields>
        <textField/>
      </textFields>
    </textPr>
  </connection>
  <connection id="89" xr16:uid="{EA5857CB-5622-42B2-8621-D4CCA7995A2E}" name="price54" type="6" refreshedVersion="8" background="1" saveData="1">
    <textPr prompt="0" sourceFile="C:\Users\baris\OneDrive\Desktop\Cs2 Price Tracker\backside\price.csv" decimal="," thousands="." tab="0" comma="1">
      <textFields>
        <textField/>
      </textFields>
    </textPr>
  </connection>
  <connection id="90" xr16:uid="{8880754E-0572-4FCA-A340-3E0B7AC11DC0}" name="price55" type="6" refreshedVersion="8" background="1" saveData="1">
    <textPr prompt="0" sourceFile="C:\Users\baris\OneDrive\Desktop\Cs2 Price Tracker\backside\price.csv" decimal="," thousands="." tab="0" comma="1">
      <textFields>
        <textField/>
      </textFields>
    </textPr>
  </connection>
  <connection id="91" xr16:uid="{FDFF2B74-3F51-44EB-AE60-D8F899C5DFCD}" name="price56" type="6" refreshedVersion="8" background="1" saveData="1">
    <textPr prompt="0" sourceFile="C:\Users\baris\OneDrive\Desktop\Cs2 Price Tracker\backside\price.csv" decimal="," thousands="." tab="0" comma="1">
      <textFields>
        <textField/>
      </textFields>
    </textPr>
  </connection>
  <connection id="92" xr16:uid="{43E8BDC0-0842-49FF-A60B-5CBC6169D68C}" name="price57" type="6" refreshedVersion="8" background="1" saveData="1">
    <textPr prompt="0" sourceFile="C:\Users\baris\OneDrive\Desktop\Cs2 Price Tracker\backside\price.csv" decimal="," thousands="." tab="0" comma="1">
      <textFields>
        <textField/>
      </textFields>
    </textPr>
  </connection>
  <connection id="93" xr16:uid="{57AC7C20-6519-40EC-81A3-3D4E36CE6AB6}" name="price58" type="6" refreshedVersion="8" background="1" saveData="1">
    <textPr prompt="0" sourceFile="C:\Users\baris\OneDrive\Desktop\Cs2 Price Tracker\backside\price.csv" decimal="," thousands="." tab="0" comma="1">
      <textFields>
        <textField/>
      </textFields>
    </textPr>
  </connection>
  <connection id="94" xr16:uid="{56D4F860-C427-49F3-BC0B-0681053C7380}" name="price59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95" xr16:uid="{B14BDDFB-D99C-4ED2-8A60-D30926D52F78}" name="price6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96" xr16:uid="{C79095E5-C6A0-4881-ADC3-020E8929D13B}" name="price60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97" xr16:uid="{A617A0AE-C917-429F-8FC8-321469C7A089}" name="price61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98" xr16:uid="{A4FB66D4-E6EF-48CC-B9E6-A380EFA5D346}" name="price62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99" xr16:uid="{E90E9C93-29C6-4421-8FBF-EB054BBF6B66}" name="price63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00" xr16:uid="{CC920991-5FE4-492C-B129-5007CA6DE15D}" name="price64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01" xr16:uid="{D9F48AB1-F2A1-429E-94EE-FF101505F837}" name="price65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02" xr16:uid="{3919A2FA-C44F-4491-8A70-DEF32E9531EE}" name="price66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03" xr16:uid="{14C6B58D-B7AE-40D7-928F-109A70AFBB3A}" name="price67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04" xr16:uid="{A6AFCD03-891B-4A69-B7B9-B82FE04394A2}" name="price68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05" xr16:uid="{AD17E42B-553B-4938-9893-9AC8F126C609}" name="price69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06" xr16:uid="{4D4AB7D0-C58F-4B44-B53F-CAF96F13E577}" name="price7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107" xr16:uid="{C5843706-AB49-4EAF-A36C-417F362517F6}" name="price70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08" xr16:uid="{406C5825-DD9E-4EE4-B2D5-6F77A7367F3C}" name="price71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09" xr16:uid="{C76BB8D5-0FDC-4D8C-93F1-16193324A28A}" name="price72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10" xr16:uid="{B9DA7DA7-9D34-41CA-9077-F9651E655458}" name="price73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11" xr16:uid="{6103D7ED-34C3-4167-876C-52EFE2C6816D}" name="price74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12" xr16:uid="{C274991B-3C93-4ED6-80C6-E137EDF5093F}" name="price75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13" xr16:uid="{4029CC11-79D3-4590-912D-A6A8B35C9653}" name="price76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14" xr16:uid="{2F96E515-6999-492D-83EC-C84A6BF279BE}" name="price77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15" xr16:uid="{792E7CEF-A318-4676-91F7-4222BF862BAC}" name="price78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16" xr16:uid="{A498DB9B-7DB2-4EAC-B3A5-23F83974FF0A}" name="price79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17" xr16:uid="{16DBD702-828E-42EC-B60A-87C7E2F72F97}" name="price8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118" xr16:uid="{41039E4F-DFC2-4749-8C41-0D445C6A16AD}" name="price80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19" xr16:uid="{DE9EBD70-3D25-4197-B286-E9DBFFEAFBF6}" name="price81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20" xr16:uid="{296D6F77-D491-4030-A761-D52D2612ED8B}" name="price82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21" xr16:uid="{7247F617-C60E-4AEB-9074-314C1F1DCFF8}" name="price83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22" xr16:uid="{BF3F781A-0766-49A3-84B7-770ADD00F695}" name="price84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23" xr16:uid="{BDB27CEB-672B-4411-9FF1-B3E8024385F1}" name="price85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24" xr16:uid="{214DC759-A620-4EE4-A1F6-048F67AF526B}" name="price86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25" xr16:uid="{71764254-AFBC-4A80-B805-16D9FD33A632}" name="price87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26" xr16:uid="{A161F54E-74BC-4D4F-9B09-82A32F4F1675}" name="price88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27" xr16:uid="{72B25F16-5A53-4D72-A415-32976751F832}" name="price89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28" xr16:uid="{F33E8513-0A7C-4B19-8833-4F0815E38D5C}" name="price9" type="6" refreshedVersion="8" background="1" saveData="1">
    <textPr prompt="0" sourceFile="C:\Users\baris\OneDrive\Desktop\Cs2 Price Tracker\backside\price.csv" decimal="," thousands="." comma="1">
      <textFields>
        <textField/>
      </textFields>
    </textPr>
  </connection>
  <connection id="129" xr16:uid="{55E9BC01-85E2-4409-A998-3D28FD443330}" name="price90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30" xr16:uid="{DC659134-4237-4B99-AC44-B0E3B72739A5}" name="price91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31" xr16:uid="{47B820B7-E79B-4842-A4F4-75FB992F1EC4}" name="price92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32" xr16:uid="{5EEC2067-CCEE-475E-AF00-964DDED44C03}" name="price93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33" xr16:uid="{65C43BC4-43A2-4B6F-B741-83A297008A61}" name="price94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34" xr16:uid="{74A8B070-81DB-4B15-91AC-EFC0E9AF2523}" name="price95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35" xr16:uid="{3715B2F2-0209-4D97-8005-B282459214A7}" name="price96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36" xr16:uid="{F04BDB43-37C9-440B-B26E-CAD40251D679}" name="price97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37" xr16:uid="{CC7A9C32-86F1-46FD-AACA-7BBB8766E02C}" name="price98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  <connection id="138" xr16:uid="{AE6CB63B-EA9C-48CD-B032-5BF9078F785A}" name="price99" type="6" refreshedVersion="8" background="1" saveData="1">
    <textPr prompt="0" sourceFile="C:\Users\baris\OneDrive\Desktop\Cs2 Price Tracker\scripts\price.csv" decimal="," thousands="." tab="0" comma="1">
      <textFields>
        <textField/>
      </textFields>
    </textPr>
  </connection>
</connections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<sst xmlns="http://schemas.openxmlformats.org/spreadsheetml/2006/main" count="126" uniqueCount="71">
  <si>
    <t>Wear Rate</t>
  </si>
  <si>
    <t>Actual Name</t>
  </si>
  <si>
    <t>Lowest Price</t>
  </si>
  <si>
    <t>Median Price</t>
  </si>
  <si>
    <t>Counter Strike 2 Investing and Tracking Spreadsheet</t>
  </si>
  <si>
    <t>Introduction:</t>
  </si>
  <si>
    <t xml:space="preserve">This tool is designed to provide real-time market data for Counter-Strike 2 items, allowing users to monitor and track item prices directly from Steam’s marketplace. The spreadsheet is </t>
  </si>
  <si>
    <t>powered by an automated Python script that fetches up-to-date price information and displays it in an easy-to-read format, giving you a quick snapshot of current market trends.</t>
  </si>
  <si>
    <t>Python Path:</t>
  </si>
  <si>
    <t>For exemple : C:\Users\user\AppData\Local\Programs\Python\Python311\python.exe</t>
  </si>
  <si>
    <t>Api Key:</t>
  </si>
  <si>
    <t>https://steamcommunity.com/dev</t>
  </si>
  <si>
    <t>"Caution: Never share your API key with strangers, as it could put your entire Steam account and inventory at risk."</t>
  </si>
  <si>
    <t>Item Type</t>
  </si>
  <si>
    <t>Hidden Item Types</t>
  </si>
  <si>
    <t>Weapon</t>
  </si>
  <si>
    <t>Case</t>
  </si>
  <si>
    <t>Capsule</t>
  </si>
  <si>
    <t>Knife</t>
  </si>
  <si>
    <t>Glove</t>
  </si>
  <si>
    <t>Agent</t>
  </si>
  <si>
    <t>Sticker</t>
  </si>
  <si>
    <t>Full Name</t>
  </si>
  <si>
    <t>0.66</t>
  </si>
  <si>
    <t>0.38</t>
  </si>
  <si>
    <t>0.20</t>
  </si>
  <si>
    <t>0.06</t>
  </si>
  <si>
    <t>0.09</t>
  </si>
  <si>
    <t>XM1014 | Quicksilver (Battle-Scarred)</t>
  </si>
  <si>
    <t>Desert Eagle | Heat Treated (Well-Worn)</t>
  </si>
  <si>
    <t>â˜… StatTrakâ„¢ Navaja Knife | Damascus Steel (Field-Tested)</t>
  </si>
  <si>
    <t>P250 | Whiteout (Minimal Wear)</t>
  </si>
  <si>
    <t>0.05</t>
  </si>
  <si>
    <t>Desert Eagle | Hypnotic (Factory New)</t>
  </si>
  <si>
    <t>You don't need to manually enter your Python path if python.exe is already added to your system's PATH environment variable. The code will run without issues.</t>
  </si>
  <si>
    <t>However, if an error occurs, a log file will be created in the scripts folder for troubleshooting. If you believe the issue is related to your Python path, you can manually</t>
  </si>
  <si>
    <t>Enter your python path in D15 cell.</t>
  </si>
  <si>
    <t xml:space="preserve">Enter your Api key at D21 cell. You can get your Api Key from here: </t>
  </si>
  <si>
    <t>Float</t>
  </si>
  <si>
    <t>0.17</t>
  </si>
  <si>
    <t>SG 553 | Aloha (Field-Tested)</t>
  </si>
  <si>
    <t>MP9 | Black Sand (Field-Tested)</t>
  </si>
  <si>
    <t>0.16</t>
  </si>
  <si>
    <t>R8 Revolver | Grip (Field-Tested)</t>
  </si>
  <si>
    <t>0.18</t>
  </si>
  <si>
    <t>0.19</t>
  </si>
  <si>
    <t>XM1014 | Oxide Blaze (Field-Tested)</t>
  </si>
  <si>
    <t>PP-Bizon | Night Riot (Field-Tested)</t>
  </si>
  <si>
    <t>P2000 | Urban Hazard (Field-Tested)</t>
  </si>
  <si>
    <t>0.159</t>
  </si>
  <si>
    <t>★ StatTrak™ Navaja Knife | Damascus Steel (Field-Tested)</t>
  </si>
  <si>
    <t>Collection</t>
  </si>
  <si>
    <t>Clutch</t>
  </si>
  <si>
    <t>enter it in cell D13. To find your Python path, open the command prompt and type: where python</t>
  </si>
  <si>
    <t>$0.11</t>
  </si>
  <si>
    <t>$0.10</t>
  </si>
  <si>
    <t>$0.08</t>
  </si>
  <si>
    <t>$0.09</t>
  </si>
  <si>
    <t>5AF0EFD14E6964BCB2CDBAB3BCDA50FB</t>
  </si>
  <si>
    <t>$144.99</t>
  </si>
  <si>
    <t>$0.07</t>
  </si>
  <si>
    <t>$0.70</t>
  </si>
  <si>
    <t>$0.23</t>
  </si>
  <si>
    <t>$3.03</t>
  </si>
  <si>
    <t>$2.96</t>
  </si>
  <si>
    <t>$137.53</t>
  </si>
  <si>
    <t>$48.66</t>
  </si>
  <si>
    <t>$46.92</t>
  </si>
  <si>
    <t>$121.64</t>
  </si>
  <si>
    <t>$119.38</t>
  </si>
  <si>
    <t>$0.12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</si>
</sst>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409]#,##0.00"/>
  </numFmts>
  <fonts count="7" x14ac:knownFonts="1">
    <font>
      <sz val="11"/>
      <color theme="1"/>
      <name val="Aptos Narrow"/>
      <family val="2"/>
      <charset val="162"/>
      <scheme val="minor"/>
    </font>
    <font>
      <sz val="20"/>
      <color theme="1"/>
      <name val="Aptos Narrow"/>
      <family val="2"/>
      <charset val="162"/>
      <scheme val="minor"/>
    </font>
    <font>
      <b/>
      <sz val="2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u/>
      <sz val="11"/>
      <color theme="10"/>
      <name val="Aptos Narrow"/>
      <family val="2"/>
      <charset val="162"/>
      <scheme val="minor"/>
    </font>
    <font>
      <sz val="8"/>
      <name val="Aptos Narrow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107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4" fillId="2" borderId="0" xfId="0" applyFont="1" applyFill="1"/>
    <xf numFmtId="0" fontId="0" fillId="3" borderId="9" xfId="0" applyFill="1" applyBorder="1"/>
    <xf numFmtId="0" fontId="0" fillId="3" borderId="10" xfId="0" applyFill="1" applyBorder="1" applyAlignment="1">
      <alignment vertical="center"/>
    </xf>
    <xf numFmtId="0" fontId="0" fillId="3" borderId="11" xfId="0" applyFill="1" applyBorder="1" applyAlignment="1">
      <alignment vertical="center"/>
    </xf>
    <xf numFmtId="0" fontId="3" fillId="2" borderId="0" xfId="0" applyFont="1" applyFill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 wrapText="1"/>
    </xf>
    <xf numFmtId="164" fontId="0" fillId="0" borderId="0" xfId="0" applyNumberForma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5" fillId="2" borderId="0" xfId="1" applyFill="1" applyBorder="1" applyAlignment="1">
      <alignment horizontal="center"/>
    </xf>
  </cellXfs>
  <cellStyles count="2">
    <cellStyle name="Köprü" xfId="1" builtinId="8"/>
    <cellStyle name="Normal" xfId="0" builtinId="0"/>
  </cellStyles>
  <dxfs count="11">
    <dxf>
      <numFmt numFmtId="0" formatCode="General"/>
    </dxf>
    <dxf>
      <numFmt numFmtId="0" formatCode="General"/>
    </dxf>
    <dxf>
      <numFmt numFmtId="164" formatCode="[$$-409]#,##0.00"/>
      <alignment horizontal="right" textRotation="0" indent="0" justifyLastLine="0" shrinkToFit="0" readingOrder="0"/>
    </dxf>
    <dxf>
      <numFmt numFmtId="164" formatCode="[$$-409]#,##0.00"/>
      <alignment horizontal="right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fgColor rgb="FFFFFACD"/>
          <bgColor rgb="FFFFFACD"/>
        </patternFill>
      </fill>
      <border>
        <top style="thin">
          <color rgb="FFFFC625"/>
        </top>
        <bottom style="thin">
          <color rgb="FFFFC625"/>
        </bottom>
      </border>
    </dxf>
    <dxf>
      <fill>
        <patternFill patternType="solid">
          <fgColor rgb="FFFBE03F"/>
          <bgColor rgb="FFFCE870"/>
        </patternFill>
      </fill>
      <border>
        <top style="thin">
          <color rgb="FFFFC625"/>
        </top>
        <bottom style="thin">
          <color rgb="FFFFC625"/>
        </bottom>
        <horizontal/>
      </border>
    </dxf>
    <dxf>
      <font>
        <b/>
        <i val="0"/>
        <color theme="1"/>
      </font>
      <fill>
        <patternFill>
          <fgColor rgb="FFFFC107"/>
          <bgColor rgb="FFEAAD00"/>
        </patternFill>
      </fill>
    </dxf>
    <dxf>
      <fill>
        <patternFill>
          <fgColor rgb="FFFFEB3B"/>
        </patternFill>
      </fill>
    </dxf>
    <dxf>
      <fill>
        <patternFill>
          <bgColor rgb="FFFFFF00"/>
        </patternFill>
      </fill>
    </dxf>
    <dxf>
      <fill>
        <patternFill>
          <fgColor rgb="FFFFEB3B"/>
        </patternFill>
      </fill>
    </dxf>
  </dxfs>
  <tableStyles count="3" defaultTableStyle="TableStyleMedium2" defaultPivotStyle="PivotStyleLight16">
    <tableStyle name="Tablo Stili 1" pivot="0" count="1" xr9:uid="{B4709C63-2BB3-4F58-8410-6EBEBFC0EFA2}">
      <tableStyleElement type="firstRowStripe" dxfId="10"/>
    </tableStyle>
    <tableStyle name="Tablo Stili 2" pivot="0" count="2" xr9:uid="{8F5D11F9-1973-4F04-BC3E-EF0635A0AE92}">
      <tableStyleElement type="wholeTable" dxfId="9"/>
      <tableStyleElement type="firstRowStripe" dxfId="8"/>
    </tableStyle>
    <tableStyle name="Tablo Stili 3" pivot="0" count="3" xr9:uid="{75BCFF54-2C8C-4A62-86E0-F11A4CB5D29B}">
      <tableStyleElement type="headerRow" dxfId="7"/>
      <tableStyleElement type="firstRowStripe" dxfId="6"/>
      <tableStyleElement type="secondRowStripe" dxfId="5"/>
    </tableStyle>
  </tableStyles>
  <colors>
    <mruColors>
      <color rgb="FFEAAD00"/>
      <color rgb="FFFFC625"/>
      <color rgb="FFFFCF47"/>
      <color rgb="FFFFD765"/>
      <color rgb="FFFFC107"/>
      <color rgb="FFFCE870"/>
      <color rgb="FFFFFACD"/>
      <color rgb="FFFBE03F"/>
      <color rgb="FFFFEB3B"/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23/09/relationships/Python" Target="python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44" connectionId="8" xr16:uid="{219B39C8-BEC9-4D0B-BCC4-BB17C65993B2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02" connectionId="134" xr16:uid="{E3B640C7-92D0-410B-BF61-A05A0987197D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32" connectionId="38" xr16:uid="{4159D76E-A74E-47DB-8E9B-0420EF4E57EF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06" connectionId="138" xr16:uid="{749DD208-DBCF-457E-A056-EA3DFEC8FC15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48" connectionId="75" xr16:uid="{64170C2D-ED60-4A09-ABF4-33D022099AB1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00" connectionId="132" xr16:uid="{158C4E91-F95E-4EF7-BFF6-2D3BD1F7BB21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9" connectionId="48" xr16:uid="{9253985A-C8FF-4083-834B-44598D7321C8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69" connectionId="98" xr16:uid="{BFC0DF35-CAE0-452E-A0A7-2D8ED47BD81E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09" connectionId="13" xr16:uid="{9DAF2271-6748-448A-8A7D-8E9FA28E59DE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42" connectionId="6" xr16:uid="{18E69618-37E7-4B7F-9043-816130D85727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19" connectionId="24" xr16:uid="{3BC57E53-BE1D-479C-A482-26EB7D6674C9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14" connectionId="18" xr16:uid="{F8034331-B9B2-4F50-AA77-52155AF35D18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34" connectionId="40" xr16:uid="{BDA481DF-4B5C-4469-8C14-DDDE905F22A6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78" connectionId="108" xr16:uid="{B2CF434F-9AC0-4F76-9FCE-86F3D8DAC6B2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13" connectionId="17" xr16:uid="{11C9C9D8-5EA4-4ADB-9CA4-294F9A169CA1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20" connectionId="25" xr16:uid="{94224536-7636-40E2-9FAC-5F42CB17FE8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37" connectionId="68" xr16:uid="{701C78F8-CD70-481F-91BE-A961D4B4F8A7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53" connectionId="80" xr16:uid="{7E4F8A4E-2A0D-4544-A60F-5EB41079E750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58" connectionId="86" xr16:uid="{4D6F8FB6-1BBE-4AC3-B6EE-78AE8FCF9D98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44" connectionId="70" xr16:uid="{927989B9-6F8A-4008-8137-4173FF067EE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42" connectionId="60" xr16:uid="{5236C117-B348-44F4-98D8-DD08A88EFE31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62" connectionId="90" xr16:uid="{86F84AEC-5CB0-4E53-A460-5E479A1E61BE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79" connectionId="109" xr16:uid="{71EADBE5-9558-4B3A-84BD-9837FA17F766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8" connectionId="47" xr16:uid="{84F39854-3EFC-4C7B-93D7-0264D887A8AD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98" connectionId="130" xr16:uid="{BA9368CD-F444-49B6-8788-494410270AE3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76" connectionId="105" xr16:uid="{158D86C1-9B03-4C6F-9EAF-D06EED9D3012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43" connectionId="61" xr16:uid="{2FA691F3-7C81-4455-A089-61F828C85196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99" connectionId="131" xr16:uid="{1DD0E897-C42F-47A7-994A-1A566B73B4BC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41" connectionId="5" xr16:uid="{BD9E8E02-B618-47EE-B70B-DDBAF42D3037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18" connectionId="23" xr16:uid="{CFFCF16D-1E3C-4E66-898B-976CB3BF1332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16" connectionId="20" xr16:uid="{FD0DC400-4DA3-4E02-BD38-4F30349FF2E4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70" connectionId="99" xr16:uid="{724C6E78-0726-477C-ADF5-1491751C17E4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57" connectionId="85" xr16:uid="{9B4FF9EF-71A7-4513-833A-5FBDB113FCB6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07" connectionId="11" xr16:uid="{B7F9CC82-8DD7-4E62-93B4-894B3919A828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90" connectionId="121" xr16:uid="{0BE21213-65A7-4CF6-9604-F4EEA2BA73BA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21" connectionId="26" xr16:uid="{E321A1D6-A1C7-4683-B075-9810770668FB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1" connectionId="128" xr16:uid="{FAE0A1E1-AFBD-45DE-80F1-A88C70643199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93" connectionId="124" xr16:uid="{1927190F-0D3D-4512-B413-6EC003A40C52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4" connectionId="32" xr16:uid="{251BBB22-38C3-4AE4-8075-4F77610FECE2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37" connectionId="44" xr16:uid="{2D3D4B34-30CD-45DC-9639-CF5FA6EB7AF4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73" connectionId="102" xr16:uid="{E8B97718-7A91-4B39-B994-8D3679DF26B3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67" connectionId="96" xr16:uid="{4CE02510-05C2-4B75-BEDB-225FE82F18C7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0" connectionId="49" xr16:uid="{E62C8B64-701D-4F69-ABCF-8E81D03E4E56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24" connectionId="29" xr16:uid="{C4923F76-D707-48FA-B586-AA4CCACAA571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29" connectionId="35" xr16:uid="{27EBEE53-162F-4007-8D00-702CDD0C2027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4" connectionId="54" xr16:uid="{1203C119-D0FB-4CB7-8503-F7D12D60339D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86" connectionId="116" xr16:uid="{06A491E6-1058-40ED-BC0E-5A06B56ADB62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9" connectionId="106" xr16:uid="{3FBC7918-465B-4A45-AAE9-0A9BB3F1DE62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65" connectionId="93" xr16:uid="{D9F7CE7A-0667-4341-8AA5-16276035369D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81" connectionId="111" xr16:uid="{91D65D42-19AB-45A6-AC66-6BC40066BCE6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39" connectionId="53" xr16:uid="{6D377A50-C908-4D53-88A1-E91CB0FB704F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30" connectionId="36" xr16:uid="{A757E285-735F-484D-B611-C11DCBC6A97B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33" connectionId="39" xr16:uid="{FE6B545D-F54D-4FB9-8363-9697E50D3F8B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08" connectionId="12" xr16:uid="{31489533-ED58-4C26-A5EA-1192C171652D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83" connectionId="113" xr16:uid="{2A15B877-C19D-4122-8252-BB5C3CCDE20B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10" connectionId="14" xr16:uid="{07ADF4B4-4364-484F-BA7C-9E314A71B471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74" connectionId="103" xr16:uid="{EE83639B-E987-490F-9C5C-484268F3C7C7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05" connectionId="137" xr16:uid="{D59BEE23-C57E-48F1-9589-FF7388798D12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94" connectionId="125" xr16:uid="{76E5BE93-D4B4-495A-A7E8-012439D8055B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71" connectionId="100" xr16:uid="{B3FB0FBF-2FDF-4CE3-9018-DD393DCECE77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75" connectionId="104" xr16:uid="{51D76F04-F121-4CFD-AB1A-3DFD0A174904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7" connectionId="57" xr16:uid="{D02CD926-771A-43AC-93FD-289D179738DB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01" connectionId="133" xr16:uid="{E7831F8E-145B-4857-83B7-68B2182447E2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82" connectionId="112" xr16:uid="{1928FC23-80AC-44B1-90CA-0FEAD54A4870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72" connectionId="101" xr16:uid="{F898A87A-E976-4DC6-BA24-935C9A8869D0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61" connectionId="89" xr16:uid="{C5F80B3D-F61E-4194-B9B4-308B994F91BD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64" connectionId="92" xr16:uid="{9E6928BD-D217-4CB0-93DA-288400F2076F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36" connectionId="67" xr16:uid="{3F240C1B-7093-4F7A-870C-7384C1B16FC7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54" connectionId="81" xr16:uid="{166C5A70-B26D-49A4-BB79-FEFA393AD0C7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38" connectionId="69" xr16:uid="{671E3526-FDBF-4EEF-9B0F-2AF345A02ECC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40" connectionId="56" xr16:uid="{7AFE2791-75C1-49D9-B4CA-D1CDEA0BF697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31" connectionId="37" xr16:uid="{30A10D0D-2B45-44BC-AE75-6F3AE34179F3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35" connectionId="41" xr16:uid="{B1A3ABB7-6A3C-4BEF-B74C-448CD348DCA8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04" connectionId="136" xr16:uid="{8ECFE815-0A6F-4C01-82FE-81490A4AAB23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32" connectionId="63" xr16:uid="{643923A2-20F1-4E91-9BDD-09B95D93806A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95" connectionId="126" xr16:uid="{A82931B8-8CAA-428F-ACA6-26D49ACE37A9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39" connectionId="3" xr16:uid="{6AF6A5DE-7701-4D9A-A2F9-2BA4891B8B13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49" connectionId="76" xr16:uid="{7FF3B3EC-E3E9-4AB1-85D8-B3FDDAFBB24C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5" connectionId="73" xr16:uid="{95666D95-4DF5-418D-B554-858778B9AF89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27" connectionId="33" xr16:uid="{B69DD44E-952F-427B-A935-5346F06B8387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17" connectionId="22" xr16:uid="{DE877683-0A75-4782-9B05-8974F6BF3A08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6" connectionId="45" xr16:uid="{32AFA2E8-DC94-4F60-AE75-3BBB2D04FE70}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55" connectionId="82" xr16:uid="{FD2A096F-4131-4D14-B336-235D4429E4B8}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60" connectionId="88" xr16:uid="{E322AEC3-CDF0-4473-8A55-BD531F1C74E5}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56" connectionId="83" xr16:uid="{C6C1A631-7DC7-4251-B801-6733DF81E70C}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91" connectionId="122" xr16:uid="{C0A7EBE6-A6BB-4577-9EDB-7161C3601AFF}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12" connectionId="16" xr16:uid="{DC44BFEE-5502-4A42-8E01-41C06334E489}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87" connectionId="118" xr16:uid="{5CB8FAFC-5B9F-405C-971A-0D4F1C12023B}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40" connectionId="4" xr16:uid="{DF8EFDD0-09AC-421A-9ADF-798F4457C326}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26" connectionId="31" xr16:uid="{0CBFE7F6-5ADD-43AF-8470-F201D4939DDA}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5" connectionId="43" xr16:uid="{FA16A970-8A31-49A8-847E-07557876C79B}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6" connectionId="62" xr16:uid="{BFBEF650-112B-4028-AB8D-327EDDBD8B53}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03" connectionId="135" xr16:uid="{FE6211AB-F120-4426-B5B1-F17AA22F4493}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33" connectionId="64" xr16:uid="{4A2B1F1D-6EC0-46CF-A0FD-1970D16C3438}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38" connectionId="2" xr16:uid="{34B5371A-DCD7-46AC-95B0-37327AA300A0}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8" connectionId="58" xr16:uid="{2662F358-23E2-4AAB-87D9-1FC8ADF7C224}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7" connectionId="84" xr16:uid="{C6969B76-1E1E-4C8B-8074-C4772B882111}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63" connectionId="91" xr16:uid="{037EBA8C-2475-4C7A-9F5F-D0AC828763FC}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85" connectionId="115" xr16:uid="{22486EF9-340D-4E7D-8C9C-C997F2B22D15}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66" connectionId="94" xr16:uid="{CDFA913C-E8D1-4910-A293-2C15EF3D2AC8}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8" connectionId="95" xr16:uid="{A8637033-6EE9-445D-AE15-29AD5531BA60}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84" connectionId="114" xr16:uid="{1D5AE7FD-F26A-4810-9BA6-F4D0DB8CDAA0}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2" connectionId="52" xr16:uid="{62CB7543-3CC8-4475-8A46-B64460D938C2}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96" connectionId="127" xr16:uid="{F23B232F-2A4C-4DE4-BAA2-16ACFF02B396}" autoFormatId="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36" connectionId="42" xr16:uid="{D2CFC04A-FC16-4C4B-9F1D-4C412384418A}" autoFormatId="0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25" connectionId="30" xr16:uid="{0A7BCC2E-07BD-45B3-9402-8F48FFB068C7}" autoFormatId="0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77" connectionId="107" xr16:uid="{8D0CE00D-D5EF-48B5-9081-52E3D1201ED7}" autoFormatId="0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43" connectionId="7" xr16:uid="{8B30FAFB-28F2-4329-9EE1-29A43C70572A}" autoFormatId="0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50" connectionId="77" xr16:uid="{22F5765E-4278-4581-A0E7-CFB623487C2D}" autoFormatId="0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3" connectionId="21" xr16:uid="{95F8FABB-0659-4F99-ACE3-F5B0BBEFBCA6}" autoFormatId="0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22" connectionId="27" xr16:uid="{B39CE574-4940-4606-AEC6-3FFD5E93F519}" autoFormatId="0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59" connectionId="87" xr16:uid="{5C5F99E2-7CD8-4BC2-8016-5063516D153D}" autoFormatId="0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46" connectionId="72" xr16:uid="{7F94A317-23D6-427C-ACC8-26086B5A074B}" autoFormatId="0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92" connectionId="123" xr16:uid="{1BF9CDC1-A5F9-4CA6-B673-CD28ABC6C188}" autoFormatId="0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51" connectionId="78" xr16:uid="{5A466E62-CB33-4C25-B066-36D43F5C422F}" autoFormatId="0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80" connectionId="110" xr16:uid="{E2BB372B-40EF-4865-AAFC-9911F2333015}" autoFormatId="0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35" connectionId="66" xr16:uid="{5EE93715-94C2-4A42-82F4-8230CAB985AC}" autoFormatId="0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" connectionId="9" xr16:uid="{0A2D2253-F40E-4D16-8C23-6D01C395BC39}" autoFormatId="0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97" connectionId="129" xr16:uid="{8BEBA463-A450-4C32-B124-2C56F0F6C7C0}" autoFormatId="0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7" connectionId="46" xr16:uid="{85CBC725-4579-40BA-BCEF-78CFA15C2C57}" autoFormatId="0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23" connectionId="28" xr16:uid="{32228C68-9A0B-4214-BACF-1E992A9C40BD}" autoFormatId="0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88" connectionId="119" xr16:uid="{2A7BBB8B-9A78-4717-8FEF-CFE931F2F2D7}" autoFormatId="0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15" connectionId="19" xr16:uid="{8348A2C0-A8F0-47A5-A09E-0B226E4757C9}" autoFormatId="0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68" connectionId="97" xr16:uid="{53F17549-3227-4FF0-BDD5-EF887BA0AF2D}" autoFormatId="0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89" connectionId="120" xr16:uid="{145066AE-59AA-4BEF-8652-AA6D62E2B5B8}" autoFormatId="0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41" connectionId="59" xr16:uid="{4F4E20F9-E49C-42B1-941D-11674D65D4BE}" autoFormatId="0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2" connectionId="10" xr16:uid="{DF99BA62-DFDE-4EE7-B09E-58D51468A97A}" autoFormatId="0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5" connectionId="55" xr16:uid="{E8006FCB-3933-40F1-9F5B-B63E2AF12033}" autoFormatId="0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" connectionId="1" xr16:uid="{1385B3D5-9E35-4006-8024-11CC2D41D3D6}" autoFormatId="0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34" connectionId="65" xr16:uid="{A18D2BB9-6499-406C-AA82-E2A53234AF05}" autoFormatId="0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47" connectionId="74" xr16:uid="{213A9C05-4C58-4DA4-AF95-85C85563A2CA}" autoFormatId="0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28" connectionId="34" xr16:uid="{57C1F15B-2593-4862-9DA8-662CE1A69D3F}" autoFormatId="0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1" connectionId="50" xr16:uid="{5BBCA4BE-A59F-4E6F-9FED-4CFC4896E89B}" autoFormatId="0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45" connectionId="71" xr16:uid="{FA56B1C7-73B2-4FB8-A710-DAA69A6804F5}" autoFormatId="0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3" connectionId="51" xr16:uid="{8B0D10C3-EA39-493B-B46A-F1E10B338CA0}" autoFormatId="0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0" connectionId="117" xr16:uid="{7DD94980-075B-462F-87EC-B940F7B3F291}" autoFormatId="0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52" connectionId="79" xr16:uid="{FE5DE3B6-CA18-4FB4-BA3B-461176EFECB0}" autoFormatId="0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11" connectionId="15" xr16:uid="{EEB56F1D-AFF4-455E-BDFC-297824590059}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AFD23A-8FF4-469A-B1B5-88B18BF4CB08}" name="DataTable" displayName="DataTable" ref="A1:E13" totalsRowShown="0" headerRowDxfId="4">
  <autoFilter ref="A1:E13" xr:uid="{FBAFD23A-8FF4-469A-B1B5-88B18BF4CB0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F8D4F849-6953-497F-952D-A9AF551D2BD8}" name="Item Type"/>
    <tableColumn id="2" xr3:uid="{3289CEFC-EDF7-47D8-A9DB-EC6EA4BBEC49}" name="Full Name"/>
    <tableColumn id="3" xr3:uid="{5135DE5B-0F93-4833-A5B7-E4550EB6AE7F}" name="Wear Rate"/>
    <tableColumn id="5" xr3:uid="{6C60F001-1AD2-4804-8274-EC66ACEDC3A3}" name="Lowest Price" dataDxfId="3">
      <calculatedColumnFormula>'Item Data'!B2</calculatedColumnFormula>
    </tableColumn>
    <tableColumn id="6" xr3:uid="{507BBC19-7319-4D51-AEF5-278A998F2B91}" name="Median Price" dataDxfId="2">
      <calculatedColumnFormula>'Item Data'!C2</calculatedColumnFormula>
    </tableColumn>
  </tableColumns>
  <tableStyleInfo name="Tablo Stili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1C50F6-3E67-432F-AD18-2A01B9038616}" name="Tablo3" displayName="Tablo3" ref="A3:E9" totalsRowShown="0">
  <autoFilter ref="A3:E9" xr:uid="{1F1C50F6-3E67-432F-AD18-2A01B9038616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xr3:uid="{B9569B35-86EE-4F44-A4E4-6ADA7CEC97A9}" name="Collection"/>
    <tableColumn id="1" xr3:uid="{B336A5AB-CBBF-4D91-9769-E83ED620018E}" name="Weapon"/>
    <tableColumn id="2" xr3:uid="{026C0E3E-2BA9-480D-B354-BD620A84201D}" name="Float"/>
    <tableColumn id="3" xr3:uid="{5EF5D540-4970-4FD7-A8E2-93E29E39D845}" name="Lowest Price" dataDxfId="1">
      <calculatedColumnFormula>VLOOKUP(Tablo3[[#This Row],[Weapon]],DataTable[[Full Name]:[Median Price]],3,)</calculatedColumnFormula>
    </tableColumn>
    <tableColumn id="4" xr3:uid="{F3399739-2EB4-40CF-9E7B-3547B603F375}" name="Median Price" dataDxfId="0">
      <calculatedColumnFormula>VLOOKUP(Tablo3[[#This Row],[Weapon]],DataTable[[Full Name]:[Median Price]],4,)</calculatedColumnFormula>
    </tableColumn>
  </tableColumns>
  <tableStyleInfo name="Tablo Stili 3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steamcommunity.com/dev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63" Type="http://schemas.openxmlformats.org/officeDocument/2006/relationships/queryTable" Target="../queryTables/queryTable63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16" Type="http://schemas.openxmlformats.org/officeDocument/2006/relationships/queryTable" Target="../queryTables/queryTable16.xml"/><Relationship Id="rId107" Type="http://schemas.openxmlformats.org/officeDocument/2006/relationships/queryTable" Target="../queryTables/queryTable107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23" Type="http://schemas.openxmlformats.org/officeDocument/2006/relationships/queryTable" Target="../queryTables/queryTable123.xml"/><Relationship Id="rId128" Type="http://schemas.openxmlformats.org/officeDocument/2006/relationships/queryTable" Target="../queryTables/queryTable128.xml"/><Relationship Id="rId5" Type="http://schemas.openxmlformats.org/officeDocument/2006/relationships/queryTable" Target="../queryTables/queryTable5.xml"/><Relationship Id="rId90" Type="http://schemas.openxmlformats.org/officeDocument/2006/relationships/queryTable" Target="../queryTables/queryTable90.xml"/><Relationship Id="rId95" Type="http://schemas.openxmlformats.org/officeDocument/2006/relationships/queryTable" Target="../queryTables/queryTable95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113" Type="http://schemas.openxmlformats.org/officeDocument/2006/relationships/queryTable" Target="../queryTables/queryTable113.xml"/><Relationship Id="rId118" Type="http://schemas.openxmlformats.org/officeDocument/2006/relationships/queryTable" Target="../queryTables/queryTable118.xml"/><Relationship Id="rId134" Type="http://schemas.openxmlformats.org/officeDocument/2006/relationships/queryTable" Target="../queryTables/queryTable134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59" Type="http://schemas.openxmlformats.org/officeDocument/2006/relationships/queryTable" Target="../queryTables/queryTable59.xml"/><Relationship Id="rId103" Type="http://schemas.openxmlformats.org/officeDocument/2006/relationships/queryTable" Target="../queryTables/queryTable103.xml"/><Relationship Id="rId108" Type="http://schemas.openxmlformats.org/officeDocument/2006/relationships/queryTable" Target="../queryTables/queryTable108.xml"/><Relationship Id="rId124" Type="http://schemas.openxmlformats.org/officeDocument/2006/relationships/queryTable" Target="../queryTables/queryTable124.xml"/><Relationship Id="rId129" Type="http://schemas.openxmlformats.org/officeDocument/2006/relationships/queryTable" Target="../queryTables/queryTable129.xml"/><Relationship Id="rId54" Type="http://schemas.openxmlformats.org/officeDocument/2006/relationships/queryTable" Target="../queryTables/queryTable54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91" Type="http://schemas.openxmlformats.org/officeDocument/2006/relationships/queryTable" Target="../queryTables/queryTable91.xml"/><Relationship Id="rId96" Type="http://schemas.openxmlformats.org/officeDocument/2006/relationships/queryTable" Target="../queryTables/queryTable9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119" Type="http://schemas.openxmlformats.org/officeDocument/2006/relationships/queryTable" Target="../queryTables/queryTable119.xml"/><Relationship Id="rId44" Type="http://schemas.openxmlformats.org/officeDocument/2006/relationships/queryTable" Target="../queryTables/queryTable44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130" Type="http://schemas.openxmlformats.org/officeDocument/2006/relationships/queryTable" Target="../queryTables/queryTable130.xml"/><Relationship Id="rId135" Type="http://schemas.openxmlformats.org/officeDocument/2006/relationships/queryTable" Target="../queryTables/queryTable135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109" Type="http://schemas.openxmlformats.org/officeDocument/2006/relationships/queryTable" Target="../queryTables/queryTable10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04" Type="http://schemas.openxmlformats.org/officeDocument/2006/relationships/queryTable" Target="../queryTables/queryTable104.xml"/><Relationship Id="rId120" Type="http://schemas.openxmlformats.org/officeDocument/2006/relationships/queryTable" Target="../queryTables/queryTable120.xml"/><Relationship Id="rId125" Type="http://schemas.openxmlformats.org/officeDocument/2006/relationships/queryTable" Target="../queryTables/queryTable125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115" Type="http://schemas.openxmlformats.org/officeDocument/2006/relationships/queryTable" Target="../queryTables/queryTable115.xml"/><Relationship Id="rId131" Type="http://schemas.openxmlformats.org/officeDocument/2006/relationships/queryTable" Target="../queryTables/queryTable131.xml"/><Relationship Id="rId136" Type="http://schemas.openxmlformats.org/officeDocument/2006/relationships/queryTable" Target="../queryTables/queryTable136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105" Type="http://schemas.openxmlformats.org/officeDocument/2006/relationships/queryTable" Target="../queryTables/queryTable105.xml"/><Relationship Id="rId126" Type="http://schemas.openxmlformats.org/officeDocument/2006/relationships/queryTable" Target="../queryTables/queryTable126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3" Type="http://schemas.openxmlformats.org/officeDocument/2006/relationships/queryTable" Target="../queryTables/queryTable3.xml"/><Relationship Id="rId25" Type="http://schemas.openxmlformats.org/officeDocument/2006/relationships/queryTable" Target="../queryTables/queryTable25.xml"/><Relationship Id="rId46" Type="http://schemas.openxmlformats.org/officeDocument/2006/relationships/queryTable" Target="../queryTables/queryTable46.xml"/><Relationship Id="rId67" Type="http://schemas.openxmlformats.org/officeDocument/2006/relationships/queryTable" Target="../queryTables/queryTable67.xml"/><Relationship Id="rId116" Type="http://schemas.openxmlformats.org/officeDocument/2006/relationships/queryTable" Target="../queryTables/queryTable116.xml"/><Relationship Id="rId137" Type="http://schemas.openxmlformats.org/officeDocument/2006/relationships/queryTable" Target="../queryTables/queryTable137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62" Type="http://schemas.openxmlformats.org/officeDocument/2006/relationships/queryTable" Target="../queryTables/queryTable62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32" Type="http://schemas.openxmlformats.org/officeDocument/2006/relationships/queryTable" Target="../queryTables/queryTable132.xml"/><Relationship Id="rId15" Type="http://schemas.openxmlformats.org/officeDocument/2006/relationships/queryTable" Target="../queryTables/queryTable15.xml"/><Relationship Id="rId36" Type="http://schemas.openxmlformats.org/officeDocument/2006/relationships/queryTable" Target="../queryTables/queryTable36.xml"/><Relationship Id="rId57" Type="http://schemas.openxmlformats.org/officeDocument/2006/relationships/queryTable" Target="../queryTables/queryTable57.xml"/><Relationship Id="rId106" Type="http://schemas.openxmlformats.org/officeDocument/2006/relationships/queryTable" Target="../queryTables/queryTable106.xml"/><Relationship Id="rId127" Type="http://schemas.openxmlformats.org/officeDocument/2006/relationships/queryTable" Target="../queryTables/queryTable12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52" Type="http://schemas.openxmlformats.org/officeDocument/2006/relationships/queryTable" Target="../queryTables/queryTable52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122" Type="http://schemas.openxmlformats.org/officeDocument/2006/relationships/queryTable" Target="../queryTables/queryTable122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26" Type="http://schemas.openxmlformats.org/officeDocument/2006/relationships/queryTable" Target="../queryTables/queryTable26.xml"/><Relationship Id="rId47" Type="http://schemas.openxmlformats.org/officeDocument/2006/relationships/queryTable" Target="../queryTables/queryTable47.xml"/><Relationship Id="rId68" Type="http://schemas.openxmlformats.org/officeDocument/2006/relationships/queryTable" Target="../queryTables/queryTable68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33" Type="http://schemas.openxmlformats.org/officeDocument/2006/relationships/queryTable" Target="../queryTables/queryTable1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B110D-516E-4540-97AB-E7CD7DBE2C71}">
  <sheetPr codeName="Sayfa3"/>
  <dimension ref="B1:U21"/>
  <sheetViews>
    <sheetView tabSelected="1" zoomScaleNormal="100" workbookViewId="0">
      <selection activeCell="D21" sqref="D21"/>
    </sheetView>
  </sheetViews>
  <sheetFormatPr defaultRowHeight="15" x14ac:dyDescent="0.25"/>
  <cols>
    <col min="1" max="1" width="4.140625" style="2" customWidth="1"/>
    <col min="2" max="2" width="9.140625" style="2" customWidth="1"/>
    <col min="3" max="3" width="9.140625" style="2"/>
    <col min="4" max="5" width="9.140625" style="2" customWidth="1"/>
    <col min="6" max="10" width="9.140625" style="2"/>
    <col min="11" max="11" width="10" style="2" customWidth="1"/>
    <col min="12" max="12" width="2.28515625" style="2" customWidth="1"/>
    <col min="13" max="13" width="4.42578125" style="2" customWidth="1"/>
    <col min="14" max="20" width="9.140625" style="2"/>
    <col min="21" max="21" width="17.28515625" style="2" customWidth="1"/>
    <col min="22" max="16384" width="9.140625" style="2"/>
  </cols>
  <sheetData>
    <row r="1" spans="2:21" ht="15.75" customHeight="1" thickBot="1" x14ac:dyDescent="0.3"/>
    <row r="2" spans="2:21" x14ac:dyDescent="0.25">
      <c r="B2" s="12" t="s">
        <v>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4"/>
    </row>
    <row r="3" spans="2:21" ht="15" customHeight="1" x14ac:dyDescent="0.25">
      <c r="B3" s="15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7"/>
    </row>
    <row r="4" spans="2:21" ht="15.75" customHeight="1" thickBot="1" x14ac:dyDescent="0.3">
      <c r="B4" s="18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20"/>
    </row>
    <row r="5" spans="2:21" ht="9.75" customHeight="1" x14ac:dyDescent="0.25"/>
    <row r="6" spans="2:21" ht="21" x14ac:dyDescent="0.35">
      <c r="B6" s="3" t="s">
        <v>5</v>
      </c>
      <c r="D6" s="2" t="s">
        <v>6</v>
      </c>
    </row>
    <row r="7" spans="2:21" x14ac:dyDescent="0.25">
      <c r="D7" s="2" t="s">
        <v>7</v>
      </c>
    </row>
    <row r="9" spans="2:21" ht="21" x14ac:dyDescent="0.35">
      <c r="D9" s="3" t="s">
        <v>8</v>
      </c>
      <c r="F9" s="2" t="s">
        <v>36</v>
      </c>
    </row>
    <row r="10" spans="2:21" x14ac:dyDescent="0.25">
      <c r="F10" s="2" t="s">
        <v>34</v>
      </c>
    </row>
    <row r="11" spans="2:21" x14ac:dyDescent="0.25">
      <c r="F11" s="2" t="s">
        <v>35</v>
      </c>
    </row>
    <row r="12" spans="2:21" x14ac:dyDescent="0.25">
      <c r="F12" s="2" t="s">
        <v>53</v>
      </c>
    </row>
    <row r="13" spans="2:21" x14ac:dyDescent="0.25">
      <c r="F13" s="2" t="s">
        <v>9</v>
      </c>
    </row>
    <row r="14" spans="2:21" ht="7.5" customHeight="1" thickBot="1" x14ac:dyDescent="0.3"/>
    <row r="15" spans="2:21" ht="15.75" thickBot="1" x14ac:dyDescent="0.3">
      <c r="D15" s="4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6"/>
    </row>
    <row r="17" spans="4:18" ht="21" x14ac:dyDescent="0.35">
      <c r="D17" s="3" t="s">
        <v>10</v>
      </c>
      <c r="F17" s="2" t="s">
        <v>37</v>
      </c>
      <c r="M17" s="21" t="s">
        <v>11</v>
      </c>
      <c r="N17" s="21"/>
      <c r="O17" s="21"/>
      <c r="P17" s="21"/>
    </row>
    <row r="18" spans="4:18" x14ac:dyDescent="0.25">
      <c r="F18" s="7" t="s">
        <v>12</v>
      </c>
    </row>
    <row r="20" spans="4:18" ht="7.5" customHeight="1" thickBot="1" x14ac:dyDescent="0.3"/>
    <row r="21" spans="4:18" ht="15.75" thickBot="1" x14ac:dyDescent="0.3">
      <c r="D21" s="4" t="s">
        <v>58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6"/>
    </row>
  </sheetData>
  <mergeCells count="2">
    <mergeCell ref="B2:U4"/>
    <mergeCell ref="M17:P17"/>
  </mergeCells>
  <hyperlinks>
    <hyperlink ref="M17" r:id="rId1" xr:uid="{B7FAFF2B-835F-432F-9B70-7C8EFD42B08C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C1868-E33C-444D-BA09-18200813A67C}">
  <sheetPr codeName="Sayfa1"/>
  <dimension ref="A1:H21"/>
  <sheetViews>
    <sheetView workbookViewId="0">
      <selection activeCell="F4" sqref="F4"/>
    </sheetView>
  </sheetViews>
  <sheetFormatPr defaultRowHeight="15" x14ac:dyDescent="0.25"/>
  <cols>
    <col min="1" max="1" width="11.7109375" bestFit="1" customWidth="1"/>
    <col min="2" max="2" width="52.85546875" bestFit="1" customWidth="1"/>
    <col min="3" max="3" width="10.28515625" bestFit="1" customWidth="1"/>
    <col min="4" max="5" width="17.5703125" style="9" bestFit="1" customWidth="1"/>
    <col min="6" max="6" width="52.85546875" bestFit="1" customWidth="1"/>
    <col min="7" max="7" width="12.28515625" bestFit="1" customWidth="1"/>
    <col min="8" max="8" width="17.28515625" bestFit="1" customWidth="1"/>
    <col min="11" max="11" width="17.28515625" bestFit="1" customWidth="1"/>
    <col min="12" max="12" width="52.42578125" bestFit="1" customWidth="1"/>
  </cols>
  <sheetData>
    <row r="1" spans="1:8" ht="15" customHeight="1" x14ac:dyDescent="0.25">
      <c r="A1" s="8" t="s">
        <v>13</v>
      </c>
      <c r="B1" s="8" t="s">
        <v>22</v>
      </c>
      <c r="C1" s="8" t="s">
        <v>0</v>
      </c>
      <c r="D1" s="11" t="s">
        <v>2</v>
      </c>
      <c r="E1" s="11" t="s">
        <v>3</v>
      </c>
      <c r="F1" s="8"/>
      <c r="G1" s="8"/>
      <c r="H1" t="s">
        <v>14</v>
      </c>
    </row>
    <row r="2" spans="1:8" ht="15" customHeight="1" x14ac:dyDescent="0.25">
      <c r="A2" t="s">
        <v>15</v>
      </c>
      <c r="B2" t="s">
        <v>28</v>
      </c>
      <c r="C2" t="s">
        <v>23</v>
      </c>
      <c r="D2" s="9" t="str">
        <f>'Item Data'!B2</f>
        <v>$0.70</v>
      </c>
      <c r="E2" s="9" t="str">
        <f>'Item Data'!C2</f>
        <v>$0.23</v>
      </c>
      <c r="G2" s="1"/>
      <c r="H2" t="s">
        <v>15</v>
      </c>
    </row>
    <row r="3" spans="1:8" ht="15" customHeight="1" x14ac:dyDescent="0.25">
      <c r="A3" t="s">
        <v>15</v>
      </c>
      <c r="B3" t="s">
        <v>29</v>
      </c>
      <c r="C3" t="s">
        <v>24</v>
      </c>
      <c r="D3" s="9" t="str">
        <f>'Item Data'!B3</f>
        <v>$3.03</v>
      </c>
      <c r="E3" s="9" t="str">
        <f>'Item Data'!C3</f>
        <v>$2.96</v>
      </c>
      <c r="G3" s="1"/>
      <c r="H3" t="s">
        <v>16</v>
      </c>
    </row>
    <row r="4" spans="1:8" ht="15" customHeight="1" x14ac:dyDescent="0.25">
      <c r="A4" t="s">
        <v>18</v>
      </c>
      <c r="B4" t="s">
        <v>50</v>
      </c>
      <c r="C4" t="s">
        <v>25</v>
      </c>
      <c r="D4" s="9" t="str">
        <f>'Item Data'!B4</f>
        <v>$144.99</v>
      </c>
      <c r="E4" s="9" t="str">
        <f>'Item Data'!C4</f>
        <v>$137.53</v>
      </c>
      <c r="G4" s="1"/>
      <c r="H4" t="s">
        <v>17</v>
      </c>
    </row>
    <row r="5" spans="1:8" ht="15" customHeight="1" x14ac:dyDescent="0.25">
      <c r="A5" t="s">
        <v>15</v>
      </c>
      <c r="B5" t="s">
        <v>31</v>
      </c>
      <c r="C5" t="s">
        <v>27</v>
      </c>
      <c r="D5" s="9" t="str">
        <f>'Item Data'!B5</f>
        <v>$48.66</v>
      </c>
      <c r="E5" s="9" t="str">
        <f>'Item Data'!C5</f>
        <v>$46.92</v>
      </c>
      <c r="G5" s="1"/>
      <c r="H5" t="s">
        <v>18</v>
      </c>
    </row>
    <row r="6" spans="1:8" ht="15" customHeight="1" x14ac:dyDescent="0.25">
      <c r="A6" t="s">
        <v>15</v>
      </c>
      <c r="B6" t="s">
        <v>33</v>
      </c>
      <c r="C6" t="s">
        <v>26</v>
      </c>
      <c r="D6" s="9" t="str">
        <f>'Item Data'!B6</f>
        <v>$121.64</v>
      </c>
      <c r="E6" s="9" t="str">
        <f>'Item Data'!C6</f>
        <v>$119.38</v>
      </c>
      <c r="G6" s="1"/>
      <c r="H6" t="s">
        <v>19</v>
      </c>
    </row>
    <row r="7" spans="1:8" ht="15" customHeight="1" x14ac:dyDescent="0.25">
      <c r="A7" t="s">
        <v>15</v>
      </c>
      <c r="B7" t="s">
        <v>33</v>
      </c>
      <c r="C7" t="s">
        <v>32</v>
      </c>
      <c r="D7" s="9" t="str">
        <f>'Item Data'!B7</f>
        <v>$121.64</v>
      </c>
      <c r="E7" s="9" t="str">
        <f>'Item Data'!C7</f>
        <v>$119.38</v>
      </c>
      <c r="G7" s="1"/>
      <c r="H7" t="s">
        <v>20</v>
      </c>
    </row>
    <row r="8" spans="1:8" ht="15" customHeight="1" x14ac:dyDescent="0.25">
      <c r="A8" t="s">
        <v>15</v>
      </c>
      <c r="B8" t="s">
        <v>40</v>
      </c>
      <c r="C8" t="s">
        <v>39</v>
      </c>
      <c r="D8" s="9" t="str">
        <f>'Item Data'!B8</f>
        <v>$0.10</v>
      </c>
      <c r="E8" s="9" t="str">
        <f>'Item Data'!C8</f>
        <v>$0.09</v>
      </c>
      <c r="G8" s="1"/>
      <c r="H8" t="s">
        <v>21</v>
      </c>
    </row>
    <row r="9" spans="1:8" ht="15" customHeight="1" x14ac:dyDescent="0.25">
      <c r="A9" t="s">
        <v>15</v>
      </c>
      <c r="B9" t="s">
        <v>41</v>
      </c>
      <c r="C9" t="s">
        <v>42</v>
      </c>
      <c r="D9" s="9" t="str">
        <f>'Item Data'!B9</f>
        <v>$0.10</v>
      </c>
      <c r="E9" s="9" t="str">
        <f>'Item Data'!C9</f>
        <v>$0.09</v>
      </c>
      <c r="G9" s="1"/>
    </row>
    <row r="10" spans="1:8" ht="15" customHeight="1" x14ac:dyDescent="0.25">
      <c r="A10" t="s">
        <v>15</v>
      </c>
      <c r="B10" t="s">
        <v>43</v>
      </c>
      <c r="C10" t="s">
        <v>39</v>
      </c>
      <c r="D10" s="9" t="str">
        <f>'Item Data'!B10</f>
        <v>$0.10</v>
      </c>
      <c r="E10" s="9" t="str">
        <f>'Item Data'!C10</f>
        <v>$0.07</v>
      </c>
      <c r="F10" s="1"/>
    </row>
    <row r="11" spans="1:8" ht="15" customHeight="1" x14ac:dyDescent="0.25">
      <c r="A11" t="s">
        <v>15</v>
      </c>
      <c r="B11" t="s">
        <v>46</v>
      </c>
      <c r="C11" t="s">
        <v>44</v>
      </c>
      <c r="D11" s="9" t="str">
        <f>'Item Data'!B11</f>
        <v>$0.11</v>
      </c>
      <c r="E11" s="9" t="str">
        <f>'Item Data'!C11</f>
        <v>$0.08</v>
      </c>
      <c r="G11" s="1"/>
    </row>
    <row r="12" spans="1:8" ht="15" customHeight="1" x14ac:dyDescent="0.25">
      <c r="A12" t="s">
        <v>15</v>
      </c>
      <c r="B12" t="s">
        <v>47</v>
      </c>
      <c r="C12" t="s">
        <v>45</v>
      </c>
      <c r="D12" s="9" t="str">
        <f>'Item Data'!B12</f>
        <v>$0.09</v>
      </c>
      <c r="E12" s="9" t="str">
        <f>'Item Data'!C12</f>
        <v>$0.08</v>
      </c>
      <c r="G12" s="1"/>
    </row>
    <row r="13" spans="1:8" x14ac:dyDescent="0.25">
      <c r="A13" t="s">
        <v>15</v>
      </c>
      <c r="B13" t="s">
        <v>48</v>
      </c>
      <c r="C13" t="s">
        <v>25</v>
      </c>
      <c r="D13" s="9" t="str">
        <f>'Item Data'!B13</f>
        <v>$0.11</v>
      </c>
      <c r="E13" s="9" t="str">
        <f>'Item Data'!C13</f>
        <v>$0.12</v>
      </c>
    </row>
    <row r="20" spans="5:5" x14ac:dyDescent="0.25">
      <c r="E20" s="10"/>
    </row>
    <row r="21" spans="5:5" x14ac:dyDescent="0.25">
      <c r="E21" s="10"/>
    </row>
  </sheetData>
  <phoneticPr fontId="6" type="noConversion"/>
  <dataValidations count="1">
    <dataValidation type="list" allowBlank="1" showInputMessage="1" showErrorMessage="1" sqref="A1:A1048576" xr:uid="{F8E9E550-C9FF-4437-A2B8-F6C1F4EA2210}">
      <formula1>$H$2:$H$8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E7C97-9E00-49CE-A71F-556F8A70D452}">
  <sheetPr codeName="Sayfa4"/>
  <dimension ref="A3:E9"/>
  <sheetViews>
    <sheetView workbookViewId="0">
      <selection activeCell="A2" sqref="A2:E2"/>
    </sheetView>
  </sheetViews>
  <sheetFormatPr defaultRowHeight="15" x14ac:dyDescent="0.25"/>
  <cols>
    <col min="1" max="1" width="10.42578125" bestFit="1" customWidth="1"/>
    <col min="2" max="2" width="33.42578125" bestFit="1" customWidth="1"/>
    <col min="3" max="3" width="7.5703125" customWidth="1"/>
    <col min="4" max="4" width="12.42578125" bestFit="1" customWidth="1"/>
    <col min="5" max="5" width="12.5703125" bestFit="1" customWidth="1"/>
  </cols>
  <sheetData>
    <row r="3" spans="1:5" x14ac:dyDescent="0.25">
      <c r="A3" t="s">
        <v>51</v>
      </c>
      <c r="B3" t="s">
        <v>15</v>
      </c>
      <c r="C3" t="s">
        <v>38</v>
      </c>
      <c r="D3" t="s">
        <v>2</v>
      </c>
      <c r="E3" t="s">
        <v>3</v>
      </c>
    </row>
    <row r="4" spans="1:5" x14ac:dyDescent="0.25">
      <c r="A4" t="s">
        <v>52</v>
      </c>
      <c r="B4" t="s">
        <v>40</v>
      </c>
      <c r="C4" t="s">
        <v>49</v>
      </c>
      <c r="D4" t="str">
        <f>VLOOKUP(Tablo3[[#This Row],[Weapon]],DataTable[[Full Name]:[Median Price]],3,)</f>
        <v>$0.10</v>
      </c>
      <c r="E4" t="str">
        <f>VLOOKUP(Tablo3[[#This Row],[Weapon]],DataTable[[Full Name]:[Median Price]],4,)</f>
        <v>$0.09</v>
      </c>
    </row>
    <row r="5" spans="1:5" x14ac:dyDescent="0.25">
      <c r="A5" t="s">
        <v>52</v>
      </c>
      <c r="B5" t="s">
        <v>41</v>
      </c>
      <c r="C5" t="s">
        <v>49</v>
      </c>
      <c r="D5" t="str">
        <f>VLOOKUP(Tablo3[[#This Row],[Weapon]],DataTable[[Full Name]:[Median Price]],3,)</f>
        <v>$0.10</v>
      </c>
      <c r="E5" t="str">
        <f>VLOOKUP(Tablo3[[#This Row],[Weapon]],DataTable[[Full Name]:[Median Price]],4,)</f>
        <v>$0.09</v>
      </c>
    </row>
    <row r="6" spans="1:5" x14ac:dyDescent="0.25">
      <c r="A6" t="s">
        <v>52</v>
      </c>
      <c r="B6" t="s">
        <v>43</v>
      </c>
      <c r="C6" t="s">
        <v>49</v>
      </c>
      <c r="D6" t="str">
        <f>VLOOKUP(Tablo3[[#This Row],[Weapon]],DataTable[[Full Name]:[Median Price]],3,)</f>
        <v>$0.10</v>
      </c>
      <c r="E6" t="str">
        <f>VLOOKUP(Tablo3[[#This Row],[Weapon]],DataTable[[Full Name]:[Median Price]],4,)</f>
        <v>$0.07</v>
      </c>
    </row>
    <row r="7" spans="1:5" x14ac:dyDescent="0.25">
      <c r="A7" t="s">
        <v>52</v>
      </c>
      <c r="B7" t="s">
        <v>46</v>
      </c>
      <c r="C7" t="s">
        <v>49</v>
      </c>
      <c r="D7" t="str">
        <f>VLOOKUP(Tablo3[[#This Row],[Weapon]],DataTable[[Full Name]:[Median Price]],3,)</f>
        <v>$0.11</v>
      </c>
      <c r="E7" t="str">
        <f>VLOOKUP(Tablo3[[#This Row],[Weapon]],DataTable[[Full Name]:[Median Price]],4,)</f>
        <v>$0.08</v>
      </c>
    </row>
    <row r="8" spans="1:5" x14ac:dyDescent="0.25">
      <c r="A8" t="s">
        <v>52</v>
      </c>
      <c r="B8" t="s">
        <v>47</v>
      </c>
      <c r="C8" t="s">
        <v>49</v>
      </c>
      <c r="D8" t="str">
        <f>VLOOKUP(Tablo3[[#This Row],[Weapon]],DataTable[[Full Name]:[Median Price]],3,)</f>
        <v>$0.09</v>
      </c>
      <c r="E8" t="str">
        <f>VLOOKUP(Tablo3[[#This Row],[Weapon]],DataTable[[Full Name]:[Median Price]],4,)</f>
        <v>$0.08</v>
      </c>
    </row>
    <row r="9" spans="1:5" x14ac:dyDescent="0.25">
      <c r="A9" t="s">
        <v>52</v>
      </c>
      <c r="B9" t="s">
        <v>48</v>
      </c>
      <c r="C9" t="s">
        <v>49</v>
      </c>
      <c r="D9" t="str">
        <f>VLOOKUP(Tablo3[[#This Row],[Weapon]],DataTable[[Full Name]:[Median Price]],3,)</f>
        <v>$0.11</v>
      </c>
      <c r="E9" t="str">
        <f>VLOOKUP(Tablo3[[#This Row],[Weapon]],DataTable[[Full Name]:[Median Price]],4,)</f>
        <v>$0.12</v>
      </c>
    </row>
  </sheetData>
  <phoneticPr fontId="6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946DDF-99D4-4FE2-97FE-945244CAC395}">
          <x14:formula1>
            <xm:f>'Main Data'!$F:$F</xm:f>
          </x14:formula1>
          <xm:sqref>B4:B9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68779-4B94-4DE6-B7AD-EFDEA4DB1844}">
  <sheetPr codeName="Sayfa2"/>
  <dimension ref="A1:C13"/>
  <sheetViews>
    <sheetView zoomScaleNormal="100" workbookViewId="0">
      <selection activeCell="C19" sqref="C19"/>
    </sheetView>
  </sheetViews>
  <sheetFormatPr defaultRowHeight="15" x14ac:dyDescent="0.25"/>
  <cols>
    <col min="1" max="1" width="56.5703125" bestFit="1" customWidth="1"/>
    <col min="2" max="2" width="11.85546875" bestFit="1" customWidth="1"/>
    <col min="3" max="3" width="12.42578125" bestFit="1" customWidth="1"/>
  </cols>
  <sheetData>
    <row r="1" spans="1:3" x14ac:dyDescent="0.25">
      <c r="A1" t="s">
        <v>1</v>
      </c>
      <c r="B1" t="s">
        <v>2</v>
      </c>
      <c r="C1" t="s">
        <v>3</v>
      </c>
    </row>
    <row r="2" spans="1:3" x14ac:dyDescent="0.25">
      <c r="A2" t="s">
        <v>28</v>
      </c>
      <c r="B2" t="s">
        <v>61</v>
      </c>
      <c r="C2" t="s">
        <v>62</v>
      </c>
    </row>
    <row r="3" spans="1:3" x14ac:dyDescent="0.25">
      <c r="A3" t="s">
        <v>29</v>
      </c>
      <c r="B3" t="s">
        <v>63</v>
      </c>
      <c r="C3" t="s">
        <v>64</v>
      </c>
    </row>
    <row r="4" spans="1:3" x14ac:dyDescent="0.25">
      <c r="A4" t="s">
        <v>30</v>
      </c>
      <c r="B4" t="s">
        <v>59</v>
      </c>
      <c r="C4" t="s">
        <v>65</v>
      </c>
    </row>
    <row r="5" spans="1:3" x14ac:dyDescent="0.25">
      <c r="A5" t="s">
        <v>31</v>
      </c>
      <c r="B5" t="s">
        <v>66</v>
      </c>
      <c r="C5" t="s">
        <v>67</v>
      </c>
    </row>
    <row r="6" spans="1:3" x14ac:dyDescent="0.25">
      <c r="A6" t="s">
        <v>33</v>
      </c>
      <c r="B6" t="s">
        <v>68</v>
      </c>
      <c r="C6" t="s">
        <v>69</v>
      </c>
    </row>
    <row r="7" spans="1:3" x14ac:dyDescent="0.25">
      <c r="A7" t="s">
        <v>33</v>
      </c>
      <c r="B7" t="s">
        <v>68</v>
      </c>
      <c r="C7" t="s">
        <v>69</v>
      </c>
    </row>
    <row r="8" spans="1:3" x14ac:dyDescent="0.25">
      <c r="A8" t="s">
        <v>40</v>
      </c>
      <c r="B8" t="s">
        <v>55</v>
      </c>
      <c r="C8" t="s">
        <v>57</v>
      </c>
    </row>
    <row r="9" spans="1:3" x14ac:dyDescent="0.25">
      <c r="A9" t="s">
        <v>41</v>
      </c>
      <c r="B9" t="s">
        <v>55</v>
      </c>
      <c r="C9" t="s">
        <v>57</v>
      </c>
    </row>
    <row r="10" spans="1:3" x14ac:dyDescent="0.25">
      <c r="A10" t="s">
        <v>43</v>
      </c>
      <c r="B10" t="s">
        <v>55</v>
      </c>
      <c r="C10" t="s">
        <v>60</v>
      </c>
    </row>
    <row r="11" spans="1:3" x14ac:dyDescent="0.25">
      <c r="A11" t="s">
        <v>46</v>
      </c>
      <c r="B11" t="s">
        <v>54</v>
      </c>
      <c r="C11" t="s">
        <v>56</v>
      </c>
    </row>
    <row r="12" spans="1:3" x14ac:dyDescent="0.25">
      <c r="A12" t="s">
        <v>47</v>
      </c>
      <c r="B12" t="s">
        <v>57</v>
      </c>
      <c r="C12" t="s">
        <v>56</v>
      </c>
    </row>
    <row r="13" spans="1:3" x14ac:dyDescent="0.25">
      <c r="A13" t="s">
        <v>48</v>
      </c>
      <c r="B13" t="s">
        <v>54</v>
      </c>
      <c r="C13" t="s">
        <v>70</v>
      </c>
    </row>
  </sheetData>
  <phoneticPr fontId="6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CA55BB-555C-4F11-838A-1840C9FCE4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138</vt:i4>
      </vt:variant>
    </vt:vector>
  </HeadingPairs>
  <TitlesOfParts>
    <vt:vector size="142" baseType="lpstr">
      <vt:lpstr>Welcome Page</vt:lpstr>
      <vt:lpstr>Main Data</vt:lpstr>
      <vt:lpstr>Trade Ups</vt:lpstr>
      <vt:lpstr>Item Data</vt:lpstr>
      <vt:lpstr>'Item Data'!DışVeri_1</vt:lpstr>
      <vt:lpstr>'Item Data'!DışVeri_10</vt:lpstr>
      <vt:lpstr>'Item Data'!DışVeri_100</vt:lpstr>
      <vt:lpstr>'Item Data'!DışVeri_101</vt:lpstr>
      <vt:lpstr>'Item Data'!DışVeri_102</vt:lpstr>
      <vt:lpstr>'Item Data'!DışVeri_103</vt:lpstr>
      <vt:lpstr>'Item Data'!DışVeri_104</vt:lpstr>
      <vt:lpstr>'Item Data'!DışVeri_105</vt:lpstr>
      <vt:lpstr>'Item Data'!DışVeri_106</vt:lpstr>
      <vt:lpstr>'Item Data'!DışVeri_107</vt:lpstr>
      <vt:lpstr>'Item Data'!DışVeri_108</vt:lpstr>
      <vt:lpstr>'Item Data'!DışVeri_109</vt:lpstr>
      <vt:lpstr>'Item Data'!DışVeri_11</vt:lpstr>
      <vt:lpstr>'Item Data'!DışVeri_110</vt:lpstr>
      <vt:lpstr>'Item Data'!DışVeri_111</vt:lpstr>
      <vt:lpstr>'Item Data'!DışVeri_112</vt:lpstr>
      <vt:lpstr>'Item Data'!DışVeri_113</vt:lpstr>
      <vt:lpstr>'Item Data'!DışVeri_114</vt:lpstr>
      <vt:lpstr>'Item Data'!DışVeri_115</vt:lpstr>
      <vt:lpstr>'Item Data'!DışVeri_116</vt:lpstr>
      <vt:lpstr>'Item Data'!DışVeri_117</vt:lpstr>
      <vt:lpstr>'Item Data'!DışVeri_118</vt:lpstr>
      <vt:lpstr>'Item Data'!DışVeri_119</vt:lpstr>
      <vt:lpstr>'Item Data'!DışVeri_12</vt:lpstr>
      <vt:lpstr>'Item Data'!DışVeri_120</vt:lpstr>
      <vt:lpstr>'Item Data'!DışVeri_121</vt:lpstr>
      <vt:lpstr>'Item Data'!DışVeri_122</vt:lpstr>
      <vt:lpstr>'Item Data'!DışVeri_123</vt:lpstr>
      <vt:lpstr>'Item Data'!DışVeri_124</vt:lpstr>
      <vt:lpstr>'Item Data'!DışVeri_125</vt:lpstr>
      <vt:lpstr>'Item Data'!DışVeri_126</vt:lpstr>
      <vt:lpstr>'Item Data'!DışVeri_127</vt:lpstr>
      <vt:lpstr>'Item Data'!DışVeri_128</vt:lpstr>
      <vt:lpstr>'Item Data'!DışVeri_129</vt:lpstr>
      <vt:lpstr>'Item Data'!DışVeri_13</vt:lpstr>
      <vt:lpstr>'Item Data'!DışVeri_130</vt:lpstr>
      <vt:lpstr>'Item Data'!DışVeri_131</vt:lpstr>
      <vt:lpstr>'Item Data'!DışVeri_132</vt:lpstr>
      <vt:lpstr>'Item Data'!DışVeri_133</vt:lpstr>
      <vt:lpstr>'Item Data'!DışVeri_134</vt:lpstr>
      <vt:lpstr>'Item Data'!DışVeri_135</vt:lpstr>
      <vt:lpstr>'Item Data'!DışVeri_136</vt:lpstr>
      <vt:lpstr>'Item Data'!DışVeri_137</vt:lpstr>
      <vt:lpstr>'Item Data'!DışVeri_138</vt:lpstr>
      <vt:lpstr>'Item Data'!DışVeri_139</vt:lpstr>
      <vt:lpstr>'Item Data'!DışVeri_14</vt:lpstr>
      <vt:lpstr>'Item Data'!DışVeri_140</vt:lpstr>
      <vt:lpstr>'Item Data'!DışVeri_141</vt:lpstr>
      <vt:lpstr>'Item Data'!DışVeri_142</vt:lpstr>
      <vt:lpstr>'Item Data'!DışVeri_143</vt:lpstr>
      <vt:lpstr>'Item Data'!DışVeri_144</vt:lpstr>
      <vt:lpstr>'Item Data'!DışVeri_15</vt:lpstr>
      <vt:lpstr>'Item Data'!DışVeri_16</vt:lpstr>
      <vt:lpstr>'Item Data'!DışVeri_17</vt:lpstr>
      <vt:lpstr>'Item Data'!DışVeri_18</vt:lpstr>
      <vt:lpstr>'Item Data'!DışVeri_19</vt:lpstr>
      <vt:lpstr>'Item Data'!DışVeri_2</vt:lpstr>
      <vt:lpstr>'Item Data'!DışVeri_20</vt:lpstr>
      <vt:lpstr>'Item Data'!DışVeri_21</vt:lpstr>
      <vt:lpstr>'Item Data'!DışVeri_22</vt:lpstr>
      <vt:lpstr>'Item Data'!DışVeri_24</vt:lpstr>
      <vt:lpstr>'Item Data'!DışVeri_25</vt:lpstr>
      <vt:lpstr>'Item Data'!DışVeri_27</vt:lpstr>
      <vt:lpstr>'Item Data'!DışVeri_28</vt:lpstr>
      <vt:lpstr>'Item Data'!DışVeri_3</vt:lpstr>
      <vt:lpstr>'Item Data'!DışVeri_32</vt:lpstr>
      <vt:lpstr>'Item Data'!DışVeri_33</vt:lpstr>
      <vt:lpstr>'Item Data'!DışVeri_34</vt:lpstr>
      <vt:lpstr>'Item Data'!DışVeri_35</vt:lpstr>
      <vt:lpstr>'Item Data'!DışVeri_36</vt:lpstr>
      <vt:lpstr>'Item Data'!DışVeri_37</vt:lpstr>
      <vt:lpstr>'Item Data'!DışVeri_38</vt:lpstr>
      <vt:lpstr>'Item Data'!DışVeri_39</vt:lpstr>
      <vt:lpstr>'Item Data'!DışVeri_40</vt:lpstr>
      <vt:lpstr>'Item Data'!DışVeri_41</vt:lpstr>
      <vt:lpstr>'Item Data'!DışVeri_42</vt:lpstr>
      <vt:lpstr>'Item Data'!DışVeri_43</vt:lpstr>
      <vt:lpstr>'Item Data'!DışVeri_44</vt:lpstr>
      <vt:lpstr>'Item Data'!DışVeri_45</vt:lpstr>
      <vt:lpstr>'Item Data'!DışVeri_46</vt:lpstr>
      <vt:lpstr>'Item Data'!DışVeri_47</vt:lpstr>
      <vt:lpstr>'Item Data'!DışVeri_48</vt:lpstr>
      <vt:lpstr>'Item Data'!DışVeri_49</vt:lpstr>
      <vt:lpstr>'Item Data'!DışVeri_5</vt:lpstr>
      <vt:lpstr>'Item Data'!DışVeri_50</vt:lpstr>
      <vt:lpstr>'Item Data'!DışVeri_51</vt:lpstr>
      <vt:lpstr>'Item Data'!DışVeri_52</vt:lpstr>
      <vt:lpstr>'Item Data'!DışVeri_53</vt:lpstr>
      <vt:lpstr>'Item Data'!DışVeri_54</vt:lpstr>
      <vt:lpstr>'Item Data'!DışVeri_55</vt:lpstr>
      <vt:lpstr>'Item Data'!DışVeri_56</vt:lpstr>
      <vt:lpstr>'Item Data'!DışVeri_57</vt:lpstr>
      <vt:lpstr>'Item Data'!DışVeri_58</vt:lpstr>
      <vt:lpstr>'Item Data'!DışVeri_59</vt:lpstr>
      <vt:lpstr>'Item Data'!DışVeri_6</vt:lpstr>
      <vt:lpstr>'Item Data'!DışVeri_60</vt:lpstr>
      <vt:lpstr>'Item Data'!DışVeri_61</vt:lpstr>
      <vt:lpstr>'Item Data'!DışVeri_62</vt:lpstr>
      <vt:lpstr>'Item Data'!DışVeri_63</vt:lpstr>
      <vt:lpstr>'Item Data'!DışVeri_64</vt:lpstr>
      <vt:lpstr>'Item Data'!DışVeri_65</vt:lpstr>
      <vt:lpstr>'Item Data'!DışVeri_66</vt:lpstr>
      <vt:lpstr>'Item Data'!DışVeri_67</vt:lpstr>
      <vt:lpstr>'Item Data'!DışVeri_68</vt:lpstr>
      <vt:lpstr>'Item Data'!DışVeri_69</vt:lpstr>
      <vt:lpstr>'Item Data'!DışVeri_7</vt:lpstr>
      <vt:lpstr>'Item Data'!DışVeri_70</vt:lpstr>
      <vt:lpstr>'Item Data'!DışVeri_71</vt:lpstr>
      <vt:lpstr>'Item Data'!DışVeri_72</vt:lpstr>
      <vt:lpstr>'Item Data'!DışVeri_73</vt:lpstr>
      <vt:lpstr>'Item Data'!DışVeri_74</vt:lpstr>
      <vt:lpstr>'Item Data'!DışVeri_75</vt:lpstr>
      <vt:lpstr>'Item Data'!DışVeri_76</vt:lpstr>
      <vt:lpstr>'Item Data'!DışVeri_77</vt:lpstr>
      <vt:lpstr>'Item Data'!DışVeri_78</vt:lpstr>
      <vt:lpstr>'Item Data'!DışVeri_79</vt:lpstr>
      <vt:lpstr>'Item Data'!DışVeri_8</vt:lpstr>
      <vt:lpstr>'Item Data'!DışVeri_80</vt:lpstr>
      <vt:lpstr>'Item Data'!DışVeri_81</vt:lpstr>
      <vt:lpstr>'Item Data'!DışVeri_82</vt:lpstr>
      <vt:lpstr>'Item Data'!DışVeri_83</vt:lpstr>
      <vt:lpstr>'Item Data'!DışVeri_84</vt:lpstr>
      <vt:lpstr>'Item Data'!DışVeri_85</vt:lpstr>
      <vt:lpstr>'Item Data'!DışVeri_86</vt:lpstr>
      <vt:lpstr>'Item Data'!DışVeri_87</vt:lpstr>
      <vt:lpstr>'Item Data'!DışVeri_88</vt:lpstr>
      <vt:lpstr>'Item Data'!DışVeri_89</vt:lpstr>
      <vt:lpstr>'Item Data'!DışVeri_9</vt:lpstr>
      <vt:lpstr>'Item Data'!DışVeri_90</vt:lpstr>
      <vt:lpstr>'Item Data'!DışVeri_91</vt:lpstr>
      <vt:lpstr>'Item Data'!DışVeri_92</vt:lpstr>
      <vt:lpstr>'Item Data'!DışVeri_93</vt:lpstr>
      <vt:lpstr>'Item Data'!DışVeri_94</vt:lpstr>
      <vt:lpstr>'Item Data'!DışVeri_95</vt:lpstr>
      <vt:lpstr>'Item Data'!DışVeri_96</vt:lpstr>
      <vt:lpstr>'Item Data'!DışVeri_97</vt:lpstr>
      <vt:lpstr>'Item Data'!DışVeri_98</vt:lpstr>
      <vt:lpstr>'Item Data'!DışVeri_99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Barış Tay</dc:creator>
  <cp:lastModifiedBy>Barış TAY</cp:lastModifiedBy>
  <dcterms:created xsi:type="dcterms:W3CDTF">2024-10-05T15:14:55Z</dcterms:created>
  <dcterms:modified xsi:type="dcterms:W3CDTF">2024-12-09T11:20:29Z</dcterms:modified>
</cp:coreProperties>
</file>