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30" codeName="{899C9086-67A9-5B14-2C2D-5A8001700F7D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baris\OneDrive\Desktop\Uygulamalar\2- Eğitim\Github\cs2-price-tracker\"/>
    </mc:Choice>
  </mc:AlternateContent>
  <xr:revisionPtr revIDLastSave="0" documentId="13_ncr:1_{462CF9D8-F0BC-4D35-801C-14A669DDB055}" xr6:coauthVersionLast="47" xr6:coauthVersionMax="47" xr10:uidLastSave="{00000000-0000-0000-0000-000000000000}"/>
  <bookViews>
    <workbookView xWindow="-120" yWindow="-120" windowWidth="29040" windowHeight="15720" xr2:uid="{133E903D-0F97-479A-BF52-D109E59C363F}"/>
  </bookViews>
  <sheets>
    <sheet name="Welcome Page" sheetId="3" r:id="rId1"/>
    <sheet name="Main Data" sheetId="1" r:id="rId2"/>
    <sheet name="Trade Ups" sheetId="5" r:id="rId3"/>
    <sheet name="Item Data" sheetId="2" r:id="rId4"/>
  </sheets>
  <functionGroups builtInGroupCount="19"/>
  <definedNames>
    <definedName name="DışVeri_1" localSheetId="3">'Item Data'!$A$1:$C$13</definedName>
    <definedName name="DışVeri_2" localSheetId="3">'Item Data'!$A$1:$D$13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2" i="1"/>
  <c r="D10" i="1"/>
  <c r="D4" i="5" s="1"/>
  <c r="D11" i="1"/>
  <c r="D5" i="5" s="1"/>
  <c r="D12" i="1"/>
  <c r="D6" i="5" s="1"/>
  <c r="D13" i="1"/>
  <c r="D7" i="5" s="1"/>
  <c r="E10" i="1"/>
  <c r="E4" i="5" s="1"/>
  <c r="E11" i="1"/>
  <c r="E5" i="5" s="1"/>
  <c r="E12" i="1"/>
  <c r="E6" i="5" s="1"/>
  <c r="E13" i="1"/>
  <c r="E7" i="5" s="1"/>
  <c r="D9" i="1"/>
  <c r="D3" i="5" s="1"/>
  <c r="E9" i="1"/>
  <c r="E3" i="5" s="1"/>
  <c r="E2" i="1"/>
  <c r="E3" i="1"/>
  <c r="E4" i="1"/>
  <c r="E5" i="1"/>
  <c r="E6" i="1"/>
  <c r="E7" i="1"/>
  <c r="E8" i="1"/>
  <c r="E2" i="5" s="1"/>
  <c r="D2" i="1"/>
  <c r="D3" i="1"/>
  <c r="D4" i="1"/>
  <c r="D5" i="1"/>
  <c r="D6" i="1"/>
  <c r="D7" i="1"/>
  <c r="D8" i="1"/>
  <c r="D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36B97A-C02E-4D7C-B2DF-72AF4FB57A58}" name="price_2024-12-10 19.33.14" type="6" refreshedVersion="8" background="1" saveData="1">
    <textPr prompt="0" sourceFile="C:\Users\baris\OneDrive\Desktop\Uygulamalar\2- Eğitim\Github\cs2-price-tracker\Data\price_2024-12-10 19.33.14.csv" decimal="," thousands="." tab="0" comma="1">
      <textFields>
        <textField/>
      </textFields>
    </textPr>
  </connection>
  <connection id="2" xr16:uid="{E25CDA54-3222-4860-BA7B-3B67684F5315}" name="price_2024-12-10 19.36.39" type="6" refreshedVersion="8" background="1" saveData="1">
    <textPr prompt="0" sourceFile="C:\Users\baris\OneDrive\Desktop\Uygulamalar\2- Eğitim\Github\cs2-price-tracker\Data\price_2024-12-10 19.36.39.csv" decimal="," thousands="." tab="0" comma="1">
      <textFields>
        <textField/>
      </textFields>
    </textPr>
  </connection>
</connections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<sst xmlns="http://schemas.openxmlformats.org/spreadsheetml/2006/main" count="123" uniqueCount="64">
  <si>
    <t>Wear Rate</t>
  </si>
  <si>
    <t>Actual Name</t>
  </si>
  <si>
    <t>Lowest Price</t>
  </si>
  <si>
    <t>Median Price</t>
  </si>
  <si>
    <t>Counter Strike 2 Investing and Tracking Spreadsheet</t>
  </si>
  <si>
    <t>Introduction:</t>
  </si>
  <si>
    <t xml:space="preserve">This tool is designed to provide real-time market data for Counter-Strike 2 items, allowing users to monitor and track item prices directly from Steam’s marketplace. The spreadsheet is </t>
  </si>
  <si>
    <t>powered by an automated Python script that fetches up-to-date price information and displays it in an easy-to-read format, giving you a quick snapshot of current market trends.</t>
  </si>
  <si>
    <t>Python Path:</t>
  </si>
  <si>
    <t>For exemple : C:\Users\user\AppData\Local\Programs\Python\Python311\python.exe</t>
  </si>
  <si>
    <t>Item Type</t>
  </si>
  <si>
    <t>Hidden Item Types</t>
  </si>
  <si>
    <t>Weapon</t>
  </si>
  <si>
    <t>Case</t>
  </si>
  <si>
    <t>Capsule</t>
  </si>
  <si>
    <t>Knife</t>
  </si>
  <si>
    <t>Glove</t>
  </si>
  <si>
    <t>Agent</t>
  </si>
  <si>
    <t>Sticker</t>
  </si>
  <si>
    <t>Full Name</t>
  </si>
  <si>
    <t>0.66</t>
  </si>
  <si>
    <t>0.38</t>
  </si>
  <si>
    <t>0.20</t>
  </si>
  <si>
    <t>0.06</t>
  </si>
  <si>
    <t>0.09</t>
  </si>
  <si>
    <t>XM1014 | Quicksilver (Battle-Scarred)</t>
  </si>
  <si>
    <t>Desert Eagle | Heat Treated (Well-Worn)</t>
  </si>
  <si>
    <t>â˜… StatTrakâ„¢ Navaja Knife | Damascus Steel (Field-Tested)</t>
  </si>
  <si>
    <t>P250 | Whiteout (Minimal Wear)</t>
  </si>
  <si>
    <t>0.05</t>
  </si>
  <si>
    <t>Desert Eagle | Hypnotic (Factory New)</t>
  </si>
  <si>
    <t>You don't need to manually enter your Python path if python.exe is already added to your system's PATH environment variable. The code will run without issues.</t>
  </si>
  <si>
    <t>Enter your python path in D15 cell.</t>
  </si>
  <si>
    <t>Float</t>
  </si>
  <si>
    <t>0.17</t>
  </si>
  <si>
    <t>SG 553 | Aloha (Field-Tested)</t>
  </si>
  <si>
    <t>MP9 | Black Sand (Field-Tested)</t>
  </si>
  <si>
    <t>0.16</t>
  </si>
  <si>
    <t>R8 Revolver | Grip (Field-Tested)</t>
  </si>
  <si>
    <t>0.18</t>
  </si>
  <si>
    <t>0.19</t>
  </si>
  <si>
    <t>XM1014 | Oxide Blaze (Field-Tested)</t>
  </si>
  <si>
    <t>PP-Bizon | Night Riot (Field-Tested)</t>
  </si>
  <si>
    <t>P2000 | Urban Hazard (Field-Tested)</t>
  </si>
  <si>
    <t>0.159</t>
  </si>
  <si>
    <t>★ StatTrak™ Navaja Knife | Damascus Steel (Field-Tested)</t>
  </si>
  <si>
    <t>Collection</t>
  </si>
  <si>
    <t>Clutch</t>
  </si>
  <si>
    <t>$0.11</t>
  </si>
  <si>
    <t>$0.10</t>
  </si>
  <si>
    <t>$0.08</t>
  </si>
  <si>
    <t>$0.09</t>
  </si>
  <si>
    <t>$0.59</t>
  </si>
  <si>
    <t>$0.54</t>
  </si>
  <si>
    <t>$3.06</t>
  </si>
  <si>
    <t>$135.39</t>
  </si>
  <si>
    <t>$134.99</t>
  </si>
  <si>
    <t>$51.82</t>
  </si>
  <si>
    <t>$47.92</t>
  </si>
  <si>
    <t>$122.90</t>
  </si>
  <si>
    <t>$116.34</t>
  </si>
  <si>
    <t>Volume</t>
  </si>
  <si>
    <t xml:space="preserve">However, if an error occurs, a message box will appear or a log file will be created in the scripts folder for troubleshooting. If you believe the issue is related to your </t>
  </si>
  <si>
    <t>Python path, you can manually enter it in cell D13. To find your Python path, open the command prompt and type: where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</si>
</sst>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409]#,##0.00"/>
  </numFmts>
  <fonts count="5" x14ac:knownFonts="1">
    <font>
      <sz val="11"/>
      <color theme="1"/>
      <name val="Aptos Narrow"/>
      <family val="2"/>
      <charset val="162"/>
      <scheme val="minor"/>
    </font>
    <font>
      <sz val="20"/>
      <color theme="1"/>
      <name val="Aptos Narrow"/>
      <family val="2"/>
      <charset val="162"/>
      <scheme val="minor"/>
    </font>
    <font>
      <b/>
      <sz val="20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107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3" fillId="2" borderId="0" xfId="0" applyFont="1" applyFill="1"/>
    <xf numFmtId="0" fontId="0" fillId="3" borderId="9" xfId="0" applyFill="1" applyBorder="1"/>
    <xf numFmtId="0" fontId="0" fillId="3" borderId="10" xfId="0" applyFill="1" applyBorder="1" applyAlignment="1">
      <alignment vertical="center"/>
    </xf>
    <xf numFmtId="0" fontId="0" fillId="3" borderId="11" xfId="0" applyFill="1" applyBorder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 wrapText="1"/>
    </xf>
    <xf numFmtId="164" fontId="0" fillId="0" borderId="0" xfId="0" applyNumberForma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right"/>
    </xf>
    <xf numFmtId="1" fontId="0" fillId="0" borderId="0" xfId="0" applyNumberFormat="1"/>
  </cellXfs>
  <cellStyles count="1">
    <cellStyle name="Normal" xfId="0" builtinId="0"/>
  </cellStyles>
  <dxfs count="12">
    <dxf>
      <numFmt numFmtId="1" formatCode="0"/>
    </dxf>
    <dxf>
      <numFmt numFmtId="164" formatCode="[$$-409]#,##0.00"/>
      <alignment horizontal="right" textRotation="0" indent="0" justifyLastLine="0" shrinkToFit="0" readingOrder="0"/>
    </dxf>
    <dxf>
      <numFmt numFmtId="0" formatCode="General"/>
    </dxf>
    <dxf>
      <numFmt numFmtId="0" formatCode="General"/>
    </dxf>
    <dxf>
      <numFmt numFmtId="164" formatCode="[$$-409]#,##0.00"/>
      <alignment horizontal="right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fgColor rgb="FFFFFACD"/>
          <bgColor rgb="FFFFFACD"/>
        </patternFill>
      </fill>
      <border>
        <top style="thin">
          <color rgb="FFFFC625"/>
        </top>
        <bottom style="thin">
          <color rgb="FFFFC625"/>
        </bottom>
      </border>
    </dxf>
    <dxf>
      <fill>
        <patternFill patternType="solid">
          <fgColor rgb="FFFBE03F"/>
          <bgColor rgb="FFFCE870"/>
        </patternFill>
      </fill>
      <border>
        <top style="thin">
          <color rgb="FFFFC625"/>
        </top>
        <bottom style="thin">
          <color rgb="FFFFC625"/>
        </bottom>
        <horizontal/>
      </border>
    </dxf>
    <dxf>
      <font>
        <b/>
        <i val="0"/>
        <color theme="1"/>
      </font>
      <fill>
        <patternFill>
          <fgColor rgb="FFFFC107"/>
          <bgColor rgb="FFEAAD00"/>
        </patternFill>
      </fill>
    </dxf>
    <dxf>
      <fill>
        <patternFill>
          <fgColor rgb="FFFFEB3B"/>
        </patternFill>
      </fill>
    </dxf>
    <dxf>
      <fill>
        <patternFill>
          <bgColor rgb="FFFFFF00"/>
        </patternFill>
      </fill>
    </dxf>
    <dxf>
      <fill>
        <patternFill>
          <fgColor rgb="FFFFEB3B"/>
        </patternFill>
      </fill>
    </dxf>
  </dxfs>
  <tableStyles count="3" defaultTableStyle="TableStyleMedium2" defaultPivotStyle="PivotStyleLight16">
    <tableStyle name="Tablo Stili 1" pivot="0" count="1" xr9:uid="{B4709C63-2BB3-4F58-8410-6EBEBFC0EFA2}">
      <tableStyleElement type="firstRowStripe" dxfId="11"/>
    </tableStyle>
    <tableStyle name="Tablo Stili 2" pivot="0" count="2" xr9:uid="{8F5D11F9-1973-4F04-BC3E-EF0635A0AE92}">
      <tableStyleElement type="wholeTable" dxfId="10"/>
      <tableStyleElement type="firstRowStripe" dxfId="9"/>
    </tableStyle>
    <tableStyle name="Tablo Stili 3" pivot="0" count="3" xr9:uid="{75BCFF54-2C8C-4A62-86E0-F11A4CB5D29B}">
      <tableStyleElement type="headerRow" dxfId="8"/>
      <tableStyleElement type="firstRowStripe" dxfId="7"/>
      <tableStyleElement type="secondRowStripe" dxfId="6"/>
    </tableStyle>
  </tableStyles>
  <colors>
    <mruColors>
      <color rgb="FFEAAD00"/>
      <color rgb="FFFFC625"/>
      <color rgb="FFFFCF47"/>
      <color rgb="FFFFD765"/>
      <color rgb="FFFFC107"/>
      <color rgb="FFFCE870"/>
      <color rgb="FFFFFACD"/>
      <color rgb="FFFBE03F"/>
      <color rgb="FFFFEB3B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2" connectionId="2" xr16:uid="{A93739ED-8571-4919-BA49-EA24BB89886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ışVeri_1" connectionId="1" xr16:uid="{C346A972-22AF-47F9-81B4-272B63CCBDA8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AFD23A-8FF4-469A-B1B5-88B18BF4CB08}" name="DataTable" displayName="DataTable" ref="A1:F13" totalsRowShown="0" headerRowDxfId="5">
  <autoFilter ref="A1:F13" xr:uid="{FBAFD23A-8FF4-469A-B1B5-88B18BF4CB0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8D4F849-6953-497F-952D-A9AF551D2BD8}" name="Item Type"/>
    <tableColumn id="2" xr3:uid="{3289CEFC-EDF7-47D8-A9DB-EC6EA4BBEC49}" name="Full Name"/>
    <tableColumn id="3" xr3:uid="{5135DE5B-0F93-4833-A5B7-E4550EB6AE7F}" name="Wear Rate"/>
    <tableColumn id="5" xr3:uid="{6C60F001-1AD2-4804-8274-EC66ACEDC3A3}" name="Lowest Price" dataDxfId="4">
      <calculatedColumnFormula>'Item Data'!B2</calculatedColumnFormula>
    </tableColumn>
    <tableColumn id="6" xr3:uid="{507BBC19-7319-4D51-AEF5-278A998F2B91}" name="Median Price" dataDxfId="1">
      <calculatedColumnFormula>'Item Data'!C2</calculatedColumnFormula>
    </tableColumn>
    <tableColumn id="4" xr3:uid="{EE96DD84-5B32-46C9-8E9F-CFAA73CBE093}" name="Volume" dataDxfId="0">
      <calculatedColumnFormula>'Item Data'!D2</calculatedColumnFormula>
    </tableColumn>
  </tableColumns>
  <tableStyleInfo name="Tablo Stili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C50F6-3E67-432F-AD18-2A01B9038616}" name="Tablo3" displayName="Tablo3" ref="A1:E7" totalsRowShown="0">
  <autoFilter ref="A1:E7" xr:uid="{1F1C50F6-3E67-432F-AD18-2A01B903861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5" xr3:uid="{B9569B35-86EE-4F44-A4E4-6ADA7CEC97A9}" name="Collection"/>
    <tableColumn id="1" xr3:uid="{B336A5AB-CBBF-4D91-9769-E83ED620018E}" name="Weapon"/>
    <tableColumn id="2" xr3:uid="{026C0E3E-2BA9-480D-B354-BD620A84201D}" name="Float"/>
    <tableColumn id="3" xr3:uid="{5EF5D540-4970-4FD7-A8E2-93E29E39D845}" name="Lowest Price" dataDxfId="3">
      <calculatedColumnFormula>VLOOKUP(Tablo3[[#This Row],[Weapon]],DataTable[[Full Name]:[Median Price]],3,)</calculatedColumnFormula>
    </tableColumn>
    <tableColumn id="4" xr3:uid="{F3399739-2EB4-40CF-9E7B-3547B603F375}" name="Median Price" dataDxfId="2">
      <calculatedColumnFormula>VLOOKUP(Tablo3[[#This Row],[Weapon]],DataTable[[Full Name]:[Median Price]],4,)</calculatedColumnFormula>
    </tableColumn>
  </tableColumns>
  <tableStyleInfo name="Tablo Stili 3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B110D-516E-4540-97AB-E7CD7DBE2C71}">
  <sheetPr codeName="Sayfa3"/>
  <dimension ref="B1:U15"/>
  <sheetViews>
    <sheetView tabSelected="1" zoomScaleNormal="100" workbookViewId="0">
      <selection activeCell="T13" sqref="T13"/>
    </sheetView>
  </sheetViews>
  <sheetFormatPr defaultRowHeight="15" x14ac:dyDescent="0.25"/>
  <cols>
    <col min="1" max="1" width="4.140625" style="2" customWidth="1"/>
    <col min="2" max="2" width="9.140625" style="2" customWidth="1"/>
    <col min="3" max="3" width="9.140625" style="2"/>
    <col min="4" max="5" width="9.140625" style="2" customWidth="1"/>
    <col min="6" max="10" width="9.140625" style="2"/>
    <col min="11" max="11" width="10" style="2" customWidth="1"/>
    <col min="12" max="12" width="2.28515625" style="2" customWidth="1"/>
    <col min="13" max="13" width="4.42578125" style="2" customWidth="1"/>
    <col min="14" max="20" width="9.140625" style="2"/>
    <col min="21" max="21" width="17.28515625" style="2" customWidth="1"/>
    <col min="22" max="16384" width="9.140625" style="2"/>
  </cols>
  <sheetData>
    <row r="1" spans="2:21" ht="15.75" customHeight="1" thickBot="1" x14ac:dyDescent="0.3"/>
    <row r="2" spans="2:21" x14ac:dyDescent="0.25">
      <c r="B2" s="11" t="s">
        <v>4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</row>
    <row r="3" spans="2:21" ht="15" customHeight="1" x14ac:dyDescent="0.25">
      <c r="B3" s="14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6"/>
    </row>
    <row r="4" spans="2:21" ht="15.75" customHeight="1" thickBot="1" x14ac:dyDescent="0.3">
      <c r="B4" s="17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9"/>
    </row>
    <row r="5" spans="2:21" ht="9.75" customHeight="1" x14ac:dyDescent="0.25"/>
    <row r="6" spans="2:21" ht="21" x14ac:dyDescent="0.35">
      <c r="B6" s="3" t="s">
        <v>5</v>
      </c>
      <c r="D6" s="2" t="s">
        <v>6</v>
      </c>
    </row>
    <row r="7" spans="2:21" x14ac:dyDescent="0.25">
      <c r="D7" s="2" t="s">
        <v>7</v>
      </c>
    </row>
    <row r="9" spans="2:21" ht="21" x14ac:dyDescent="0.35">
      <c r="D9" s="3" t="s">
        <v>8</v>
      </c>
      <c r="F9" s="2" t="s">
        <v>32</v>
      </c>
    </row>
    <row r="10" spans="2:21" x14ac:dyDescent="0.25">
      <c r="F10" s="2" t="s">
        <v>31</v>
      </c>
    </row>
    <row r="11" spans="2:21" x14ac:dyDescent="0.25">
      <c r="F11" s="2" t="s">
        <v>62</v>
      </c>
    </row>
    <row r="12" spans="2:21" x14ac:dyDescent="0.25">
      <c r="F12" s="2" t="s">
        <v>63</v>
      </c>
    </row>
    <row r="13" spans="2:21" x14ac:dyDescent="0.25">
      <c r="F13" s="2" t="s">
        <v>9</v>
      </c>
    </row>
    <row r="14" spans="2:21" ht="7.5" customHeight="1" thickBot="1" x14ac:dyDescent="0.3"/>
    <row r="15" spans="2:21" ht="15.75" thickBot="1" x14ac:dyDescent="0.3">
      <c r="D15" s="4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6"/>
    </row>
  </sheetData>
  <mergeCells count="1">
    <mergeCell ref="B2:U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C1868-E33C-444D-BA09-18200813A67C}">
  <sheetPr codeName="Sayfa1"/>
  <dimension ref="A1:H21"/>
  <sheetViews>
    <sheetView workbookViewId="0">
      <selection activeCell="J16" sqref="J16"/>
    </sheetView>
  </sheetViews>
  <sheetFormatPr defaultRowHeight="15" x14ac:dyDescent="0.25"/>
  <cols>
    <col min="1" max="1" width="11.7109375" bestFit="1" customWidth="1"/>
    <col min="2" max="2" width="52.85546875" bestFit="1" customWidth="1"/>
    <col min="3" max="3" width="10.28515625" bestFit="1" customWidth="1"/>
    <col min="4" max="5" width="17.5703125" style="8" bestFit="1" customWidth="1"/>
    <col min="6" max="6" width="18.85546875" style="22" customWidth="1"/>
    <col min="7" max="7" width="12.28515625" bestFit="1" customWidth="1"/>
    <col min="8" max="8" width="17.28515625" bestFit="1" customWidth="1"/>
    <col min="11" max="11" width="17.28515625" bestFit="1" customWidth="1"/>
    <col min="12" max="12" width="52.42578125" bestFit="1" customWidth="1"/>
  </cols>
  <sheetData>
    <row r="1" spans="1:8" ht="15" customHeight="1" x14ac:dyDescent="0.25">
      <c r="A1" s="7" t="s">
        <v>10</v>
      </c>
      <c r="B1" s="7" t="s">
        <v>19</v>
      </c>
      <c r="C1" s="7" t="s">
        <v>0</v>
      </c>
      <c r="D1" s="10" t="s">
        <v>2</v>
      </c>
      <c r="E1" s="10" t="s">
        <v>3</v>
      </c>
      <c r="F1" s="20" t="s">
        <v>61</v>
      </c>
      <c r="G1" s="7"/>
      <c r="H1" t="s">
        <v>11</v>
      </c>
    </row>
    <row r="2" spans="1:8" ht="15" customHeight="1" x14ac:dyDescent="0.25">
      <c r="A2" t="s">
        <v>12</v>
      </c>
      <c r="B2" t="s">
        <v>25</v>
      </c>
      <c r="C2" t="s">
        <v>20</v>
      </c>
      <c r="D2" s="8" t="str">
        <f>'Item Data'!B2</f>
        <v>$0.59</v>
      </c>
      <c r="E2" s="8" t="str">
        <f>'Item Data'!C2</f>
        <v>$0.54</v>
      </c>
      <c r="F2" s="21">
        <f>'Item Data'!D2</f>
        <v>1</v>
      </c>
      <c r="G2" s="1"/>
      <c r="H2" t="s">
        <v>12</v>
      </c>
    </row>
    <row r="3" spans="1:8" ht="15" customHeight="1" x14ac:dyDescent="0.25">
      <c r="A3" t="s">
        <v>12</v>
      </c>
      <c r="B3" t="s">
        <v>26</v>
      </c>
      <c r="C3" t="s">
        <v>21</v>
      </c>
      <c r="D3" s="8" t="str">
        <f>'Item Data'!B3</f>
        <v>$3.06</v>
      </c>
      <c r="E3" s="8" t="str">
        <f>'Item Data'!C3</f>
        <v>$3.06</v>
      </c>
      <c r="F3" s="21">
        <f>'Item Data'!D3</f>
        <v>229</v>
      </c>
      <c r="G3" s="1"/>
      <c r="H3" t="s">
        <v>13</v>
      </c>
    </row>
    <row r="4" spans="1:8" ht="15" customHeight="1" x14ac:dyDescent="0.25">
      <c r="A4" t="s">
        <v>15</v>
      </c>
      <c r="B4" t="s">
        <v>45</v>
      </c>
      <c r="C4" t="s">
        <v>22</v>
      </c>
      <c r="D4" s="8" t="str">
        <f>'Item Data'!B4</f>
        <v>$135.39</v>
      </c>
      <c r="E4" s="8" t="str">
        <f>'Item Data'!C4</f>
        <v>$134.99</v>
      </c>
      <c r="F4" s="21">
        <f>'Item Data'!D4</f>
        <v>1</v>
      </c>
      <c r="G4" s="1"/>
      <c r="H4" t="s">
        <v>14</v>
      </c>
    </row>
    <row r="5" spans="1:8" ht="15" customHeight="1" x14ac:dyDescent="0.25">
      <c r="A5" t="s">
        <v>12</v>
      </c>
      <c r="B5" t="s">
        <v>28</v>
      </c>
      <c r="C5" t="s">
        <v>24</v>
      </c>
      <c r="D5" s="8" t="str">
        <f>'Item Data'!B5</f>
        <v>$51.82</v>
      </c>
      <c r="E5" s="8" t="str">
        <f>'Item Data'!C5</f>
        <v>$47.92</v>
      </c>
      <c r="F5" s="21">
        <f>'Item Data'!D5</f>
        <v>3</v>
      </c>
      <c r="G5" s="1"/>
      <c r="H5" t="s">
        <v>15</v>
      </c>
    </row>
    <row r="6" spans="1:8" ht="15" customHeight="1" x14ac:dyDescent="0.25">
      <c r="A6" t="s">
        <v>12</v>
      </c>
      <c r="B6" t="s">
        <v>30</v>
      </c>
      <c r="C6" t="s">
        <v>23</v>
      </c>
      <c r="D6" s="8" t="str">
        <f>'Item Data'!B6</f>
        <v>$122.90</v>
      </c>
      <c r="E6" s="8" t="str">
        <f>'Item Data'!C6</f>
        <v>$116.34</v>
      </c>
      <c r="F6" s="21">
        <f>'Item Data'!D6</f>
        <v>2</v>
      </c>
      <c r="G6" s="1"/>
      <c r="H6" t="s">
        <v>16</v>
      </c>
    </row>
    <row r="7" spans="1:8" ht="15" customHeight="1" x14ac:dyDescent="0.25">
      <c r="A7" t="s">
        <v>12</v>
      </c>
      <c r="B7" t="s">
        <v>30</v>
      </c>
      <c r="C7" t="s">
        <v>29</v>
      </c>
      <c r="D7" s="8" t="str">
        <f>'Item Data'!B7</f>
        <v>$122.90</v>
      </c>
      <c r="E7" s="8" t="str">
        <f>'Item Data'!C7</f>
        <v>$116.34</v>
      </c>
      <c r="F7" s="21">
        <f>'Item Data'!D7</f>
        <v>2</v>
      </c>
      <c r="G7" s="1"/>
      <c r="H7" t="s">
        <v>17</v>
      </c>
    </row>
    <row r="8" spans="1:8" ht="15" customHeight="1" x14ac:dyDescent="0.25">
      <c r="A8" t="s">
        <v>12</v>
      </c>
      <c r="B8" t="s">
        <v>35</v>
      </c>
      <c r="C8" t="s">
        <v>34</v>
      </c>
      <c r="D8" s="8" t="str">
        <f>'Item Data'!B8</f>
        <v>$0.11</v>
      </c>
      <c r="E8" s="8" t="str">
        <f>'Item Data'!C8</f>
        <v>$0.09</v>
      </c>
      <c r="F8" s="21">
        <f>'Item Data'!D8</f>
        <v>219</v>
      </c>
      <c r="G8" s="1"/>
      <c r="H8" t="s">
        <v>18</v>
      </c>
    </row>
    <row r="9" spans="1:8" ht="15" customHeight="1" x14ac:dyDescent="0.25">
      <c r="A9" t="s">
        <v>12</v>
      </c>
      <c r="B9" t="s">
        <v>36</v>
      </c>
      <c r="C9" t="s">
        <v>37</v>
      </c>
      <c r="D9" s="8" t="str">
        <f>'Item Data'!B9</f>
        <v>$0.11</v>
      </c>
      <c r="E9" s="8" t="str">
        <f>'Item Data'!C9</f>
        <v>$0.10</v>
      </c>
      <c r="F9" s="21">
        <f>'Item Data'!D9</f>
        <v>124</v>
      </c>
      <c r="G9" s="1"/>
    </row>
    <row r="10" spans="1:8" ht="15" customHeight="1" x14ac:dyDescent="0.25">
      <c r="A10" t="s">
        <v>12</v>
      </c>
      <c r="B10" t="s">
        <v>38</v>
      </c>
      <c r="C10" t="s">
        <v>34</v>
      </c>
      <c r="D10" s="8" t="str">
        <f>'Item Data'!B10</f>
        <v>$0.10</v>
      </c>
      <c r="E10" s="8" t="str">
        <f>'Item Data'!C10</f>
        <v>$0.08</v>
      </c>
      <c r="F10" s="21">
        <f>'Item Data'!D10</f>
        <v>105</v>
      </c>
    </row>
    <row r="11" spans="1:8" ht="15" customHeight="1" x14ac:dyDescent="0.25">
      <c r="A11" t="s">
        <v>12</v>
      </c>
      <c r="B11" t="s">
        <v>41</v>
      </c>
      <c r="C11" t="s">
        <v>39</v>
      </c>
      <c r="D11" s="8" t="str">
        <f>'Item Data'!B11</f>
        <v>$0.11</v>
      </c>
      <c r="E11" s="8" t="str">
        <f>'Item Data'!C11</f>
        <v>$0.10</v>
      </c>
      <c r="F11" s="21">
        <f>'Item Data'!D11</f>
        <v>75</v>
      </c>
      <c r="G11" s="1"/>
    </row>
    <row r="12" spans="1:8" ht="15" customHeight="1" x14ac:dyDescent="0.25">
      <c r="A12" t="s">
        <v>12</v>
      </c>
      <c r="B12" t="s">
        <v>42</v>
      </c>
      <c r="C12" t="s">
        <v>40</v>
      </c>
      <c r="D12" s="8" t="str">
        <f>'Item Data'!B12</f>
        <v>$0.10</v>
      </c>
      <c r="E12" s="8" t="str">
        <f>'Item Data'!C12</f>
        <v>$0.08</v>
      </c>
      <c r="F12" s="21">
        <f>'Item Data'!D12</f>
        <v>227</v>
      </c>
      <c r="G12" s="1"/>
    </row>
    <row r="13" spans="1:8" x14ac:dyDescent="0.25">
      <c r="A13" t="s">
        <v>12</v>
      </c>
      <c r="B13" t="s">
        <v>43</v>
      </c>
      <c r="C13" t="s">
        <v>22</v>
      </c>
      <c r="D13" s="8" t="str">
        <f>'Item Data'!B13</f>
        <v>$0.10</v>
      </c>
      <c r="E13" s="8" t="str">
        <f>'Item Data'!C13</f>
        <v>$0.09</v>
      </c>
      <c r="F13" s="21">
        <f>'Item Data'!D13</f>
        <v>60</v>
      </c>
    </row>
    <row r="20" spans="5:5" x14ac:dyDescent="0.25">
      <c r="E20" s="9"/>
    </row>
    <row r="21" spans="5:5" x14ac:dyDescent="0.25">
      <c r="E21" s="9"/>
    </row>
  </sheetData>
  <phoneticPr fontId="4" type="noConversion"/>
  <dataValidations count="1">
    <dataValidation type="list" allowBlank="1" showInputMessage="1" showErrorMessage="1" sqref="A1:A1048576" xr:uid="{F8E9E550-C9FF-4437-A2B8-F6C1F4EA2210}">
      <formula1>$H$2:$H$8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E7C97-9E00-49CE-A71F-556F8A70D452}">
  <sheetPr codeName="Sayfa4"/>
  <dimension ref="A1:E7"/>
  <sheetViews>
    <sheetView workbookViewId="0">
      <selection activeCell="H6" sqref="H6"/>
    </sheetView>
  </sheetViews>
  <sheetFormatPr defaultRowHeight="15" x14ac:dyDescent="0.25"/>
  <cols>
    <col min="1" max="1" width="10.42578125" bestFit="1" customWidth="1"/>
    <col min="2" max="2" width="33.42578125" bestFit="1" customWidth="1"/>
    <col min="3" max="3" width="7.5703125" customWidth="1"/>
    <col min="4" max="4" width="12.42578125" bestFit="1" customWidth="1"/>
    <col min="5" max="5" width="12.5703125" bestFit="1" customWidth="1"/>
  </cols>
  <sheetData>
    <row r="1" spans="1:5" x14ac:dyDescent="0.25">
      <c r="A1" t="s">
        <v>46</v>
      </c>
      <c r="B1" t="s">
        <v>12</v>
      </c>
      <c r="C1" t="s">
        <v>33</v>
      </c>
      <c r="D1" t="s">
        <v>2</v>
      </c>
      <c r="E1" t="s">
        <v>3</v>
      </c>
    </row>
    <row r="2" spans="1:5" x14ac:dyDescent="0.25">
      <c r="A2" t="s">
        <v>47</v>
      </c>
      <c r="B2" t="s">
        <v>35</v>
      </c>
      <c r="C2" t="s">
        <v>44</v>
      </c>
      <c r="D2" t="str">
        <f>VLOOKUP(Tablo3[[#This Row],[Weapon]],DataTable[[Full Name]:[Median Price]],3,)</f>
        <v>$0.11</v>
      </c>
      <c r="E2" t="str">
        <f>VLOOKUP(Tablo3[[#This Row],[Weapon]],DataTable[[Full Name]:[Median Price]],4,)</f>
        <v>$0.09</v>
      </c>
    </row>
    <row r="3" spans="1:5" x14ac:dyDescent="0.25">
      <c r="A3" t="s">
        <v>47</v>
      </c>
      <c r="B3" t="s">
        <v>36</v>
      </c>
      <c r="C3" t="s">
        <v>44</v>
      </c>
      <c r="D3" t="str">
        <f>VLOOKUP(Tablo3[[#This Row],[Weapon]],DataTable[[Full Name]:[Median Price]],3,)</f>
        <v>$0.11</v>
      </c>
      <c r="E3" t="str">
        <f>VLOOKUP(Tablo3[[#This Row],[Weapon]],DataTable[[Full Name]:[Median Price]],4,)</f>
        <v>$0.10</v>
      </c>
    </row>
    <row r="4" spans="1:5" x14ac:dyDescent="0.25">
      <c r="A4" t="s">
        <v>47</v>
      </c>
      <c r="B4" t="s">
        <v>38</v>
      </c>
      <c r="C4" t="s">
        <v>44</v>
      </c>
      <c r="D4" t="str">
        <f>VLOOKUP(Tablo3[[#This Row],[Weapon]],DataTable[[Full Name]:[Median Price]],3,)</f>
        <v>$0.10</v>
      </c>
      <c r="E4" t="str">
        <f>VLOOKUP(Tablo3[[#This Row],[Weapon]],DataTable[[Full Name]:[Median Price]],4,)</f>
        <v>$0.08</v>
      </c>
    </row>
    <row r="5" spans="1:5" x14ac:dyDescent="0.25">
      <c r="A5" t="s">
        <v>47</v>
      </c>
      <c r="B5" t="s">
        <v>41</v>
      </c>
      <c r="C5" t="s">
        <v>44</v>
      </c>
      <c r="D5" t="str">
        <f>VLOOKUP(Tablo3[[#This Row],[Weapon]],DataTable[[Full Name]:[Median Price]],3,)</f>
        <v>$0.11</v>
      </c>
      <c r="E5" t="str">
        <f>VLOOKUP(Tablo3[[#This Row],[Weapon]],DataTable[[Full Name]:[Median Price]],4,)</f>
        <v>$0.10</v>
      </c>
    </row>
    <row r="6" spans="1:5" x14ac:dyDescent="0.25">
      <c r="A6" t="s">
        <v>47</v>
      </c>
      <c r="B6" t="s">
        <v>42</v>
      </c>
      <c r="C6" t="s">
        <v>44</v>
      </c>
      <c r="D6" t="str">
        <f>VLOOKUP(Tablo3[[#This Row],[Weapon]],DataTable[[Full Name]:[Median Price]],3,)</f>
        <v>$0.10</v>
      </c>
      <c r="E6" t="str">
        <f>VLOOKUP(Tablo3[[#This Row],[Weapon]],DataTable[[Full Name]:[Median Price]],4,)</f>
        <v>$0.08</v>
      </c>
    </row>
    <row r="7" spans="1:5" x14ac:dyDescent="0.25">
      <c r="A7" t="s">
        <v>47</v>
      </c>
      <c r="B7" t="s">
        <v>43</v>
      </c>
      <c r="C7" t="s">
        <v>44</v>
      </c>
      <c r="D7" t="str">
        <f>VLOOKUP(Tablo3[[#This Row],[Weapon]],DataTable[[Full Name]:[Median Price]],3,)</f>
        <v>$0.10</v>
      </c>
      <c r="E7" t="str">
        <f>VLOOKUP(Tablo3[[#This Row],[Weapon]],DataTable[[Full Name]:[Median Price]],4,)</f>
        <v>$0.09</v>
      </c>
    </row>
  </sheetData>
  <phoneticPr fontId="4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946DDF-99D4-4FE2-97FE-945244CAC395}">
          <x14:formula1>
            <xm:f>'Main Data'!$F:$F</xm:f>
          </x14:formula1>
          <xm:sqref>B2:B7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68779-4B94-4DE6-B7AD-EFDEA4DB1844}">
  <sheetPr codeName="Sayfa2"/>
  <dimension ref="A1:D13"/>
  <sheetViews>
    <sheetView zoomScaleNormal="100" workbookViewId="0">
      <selection activeCell="D7" sqref="D7"/>
    </sheetView>
  </sheetViews>
  <sheetFormatPr defaultRowHeight="15" x14ac:dyDescent="0.25"/>
  <cols>
    <col min="1" max="1" width="56.5703125" bestFit="1" customWidth="1"/>
    <col min="2" max="2" width="11.85546875" bestFit="1" customWidth="1"/>
    <col min="3" max="3" width="12.42578125" bestFit="1" customWidth="1"/>
    <col min="4" max="4" width="7.7109375" bestFit="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61</v>
      </c>
    </row>
    <row r="2" spans="1:4" x14ac:dyDescent="0.25">
      <c r="A2" t="s">
        <v>25</v>
      </c>
      <c r="B2" t="s">
        <v>52</v>
      </c>
      <c r="C2" t="s">
        <v>53</v>
      </c>
      <c r="D2">
        <v>1</v>
      </c>
    </row>
    <row r="3" spans="1:4" x14ac:dyDescent="0.25">
      <c r="A3" t="s">
        <v>26</v>
      </c>
      <c r="B3" t="s">
        <v>54</v>
      </c>
      <c r="C3" t="s">
        <v>54</v>
      </c>
      <c r="D3">
        <v>229</v>
      </c>
    </row>
    <row r="4" spans="1:4" x14ac:dyDescent="0.25">
      <c r="A4" t="s">
        <v>27</v>
      </c>
      <c r="B4" t="s">
        <v>55</v>
      </c>
      <c r="C4" t="s">
        <v>56</v>
      </c>
      <c r="D4">
        <v>1</v>
      </c>
    </row>
    <row r="5" spans="1:4" x14ac:dyDescent="0.25">
      <c r="A5" t="s">
        <v>28</v>
      </c>
      <c r="B5" t="s">
        <v>57</v>
      </c>
      <c r="C5" t="s">
        <v>58</v>
      </c>
      <c r="D5">
        <v>3</v>
      </c>
    </row>
    <row r="6" spans="1:4" x14ac:dyDescent="0.25">
      <c r="A6" t="s">
        <v>30</v>
      </c>
      <c r="B6" t="s">
        <v>59</v>
      </c>
      <c r="C6" t="s">
        <v>60</v>
      </c>
      <c r="D6">
        <v>2</v>
      </c>
    </row>
    <row r="7" spans="1:4" x14ac:dyDescent="0.25">
      <c r="A7" t="s">
        <v>30</v>
      </c>
      <c r="B7" t="s">
        <v>59</v>
      </c>
      <c r="C7" t="s">
        <v>60</v>
      </c>
      <c r="D7">
        <v>2</v>
      </c>
    </row>
    <row r="8" spans="1:4" x14ac:dyDescent="0.25">
      <c r="A8" t="s">
        <v>35</v>
      </c>
      <c r="B8" t="s">
        <v>48</v>
      </c>
      <c r="C8" t="s">
        <v>51</v>
      </c>
      <c r="D8">
        <v>219</v>
      </c>
    </row>
    <row r="9" spans="1:4" x14ac:dyDescent="0.25">
      <c r="A9" t="s">
        <v>36</v>
      </c>
      <c r="B9" t="s">
        <v>48</v>
      </c>
      <c r="C9" t="s">
        <v>49</v>
      </c>
      <c r="D9">
        <v>124</v>
      </c>
    </row>
    <row r="10" spans="1:4" x14ac:dyDescent="0.25">
      <c r="A10" t="s">
        <v>38</v>
      </c>
      <c r="B10" t="s">
        <v>49</v>
      </c>
      <c r="C10" t="s">
        <v>50</v>
      </c>
      <c r="D10">
        <v>105</v>
      </c>
    </row>
    <row r="11" spans="1:4" x14ac:dyDescent="0.25">
      <c r="A11" t="s">
        <v>41</v>
      </c>
      <c r="B11" t="s">
        <v>48</v>
      </c>
      <c r="C11" t="s">
        <v>49</v>
      </c>
      <c r="D11">
        <v>75</v>
      </c>
    </row>
    <row r="12" spans="1:4" x14ac:dyDescent="0.25">
      <c r="A12" t="s">
        <v>42</v>
      </c>
      <c r="B12" t="s">
        <v>49</v>
      </c>
      <c r="C12" t="s">
        <v>50</v>
      </c>
      <c r="D12">
        <v>227</v>
      </c>
    </row>
    <row r="13" spans="1:4" x14ac:dyDescent="0.25">
      <c r="A13" t="s">
        <v>43</v>
      </c>
      <c r="B13" t="s">
        <v>49</v>
      </c>
      <c r="C13" t="s">
        <v>51</v>
      </c>
      <c r="D13">
        <v>60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CA55BB-555C-4F11-838A-1840C9FCE4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2</vt:i4>
      </vt:variant>
    </vt:vector>
  </HeadingPairs>
  <TitlesOfParts>
    <vt:vector size="6" baseType="lpstr">
      <vt:lpstr>Welcome Page</vt:lpstr>
      <vt:lpstr>Main Data</vt:lpstr>
      <vt:lpstr>Trade Ups</vt:lpstr>
      <vt:lpstr>Item Data</vt:lpstr>
      <vt:lpstr>'Item Data'!DışVeri_1</vt:lpstr>
      <vt:lpstr>'Item Data'!DışVeri_2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Barış Tay</dc:creator>
  <cp:lastModifiedBy>Barış TAY</cp:lastModifiedBy>
  <dcterms:created xsi:type="dcterms:W3CDTF">2024-10-05T15:14:55Z</dcterms:created>
  <dcterms:modified xsi:type="dcterms:W3CDTF">2024-12-10T16:40:01Z</dcterms:modified>
</cp:coreProperties>
</file>