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Uygulamalar\2- Eğitim\Github\cs2-price-tracker\"/>
    </mc:Choice>
  </mc:AlternateContent>
  <xr:revisionPtr revIDLastSave="0" documentId="13_ncr:1_{15AA3324-7360-4641-8E47-E27BB4546458}" xr6:coauthVersionLast="47" xr6:coauthVersionMax="47" xr10:uidLastSave="{00000000-0000-0000-0000-000000000000}"/>
  <bookViews>
    <workbookView xWindow="-120" yWindow="-120" windowWidth="29040" windowHeight="15720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10" localSheetId="3">'Item Data'!$A$1:$D$13</definedName>
    <definedName name="DışVeri_13" localSheetId="3">'Item Data'!$A$1:$D$13</definedName>
    <definedName name="DışVeri_14" localSheetId="3">'Item Data'!$A$1:$D$13</definedName>
    <definedName name="DışVeri_15" localSheetId="3">'Item Data'!$A$1:$D$13</definedName>
    <definedName name="DışVeri_16" localSheetId="3">'Item Data'!$A$1:$D$13</definedName>
    <definedName name="DışVeri_17" localSheetId="3">'Item Data'!$A$1:$D$13</definedName>
    <definedName name="DışVeri_18" localSheetId="3">'Item Data'!$A$1:$D$13</definedName>
    <definedName name="DışVeri_19" localSheetId="3">'Item Data'!$A$1:$D$13</definedName>
    <definedName name="DışVeri_2" localSheetId="3">'Item Data'!$A$1:$D$13</definedName>
    <definedName name="DışVeri_20" localSheetId="3">'Item Data'!$A$1:$D$13</definedName>
    <definedName name="DışVeri_21" localSheetId="3">'Item Data'!$A$1:$D$13</definedName>
    <definedName name="DışVeri_22" localSheetId="3">'Item Data'!$A$1:$D$13</definedName>
    <definedName name="DışVeri_3" localSheetId="3">'Item Data'!$A$1:$D$13</definedName>
    <definedName name="DışVeri_4" localSheetId="3">'Item Data'!$A$1:$D$13</definedName>
    <definedName name="DışVeri_5" localSheetId="3">'Item Data'!$A$1:$D$13</definedName>
    <definedName name="DışVeri_6" localSheetId="3">'Item Data'!$A$1:$D$13</definedName>
    <definedName name="DışVeri_7" localSheetId="3">'Item Data'!$A$1:$D$13</definedName>
    <definedName name="DışVeri_8" localSheetId="3">'Item Data'!$A$1:$D$13</definedName>
    <definedName name="DışVeri_9" localSheetId="3">'Item Data'!$A$1:$D$13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D2" i="1"/>
  <c r="D3" i="1"/>
  <c r="D4" i="1"/>
  <c r="D5" i="1"/>
  <c r="D6" i="1"/>
  <c r="D7" i="1"/>
  <c r="D8" i="1"/>
  <c r="D9" i="1"/>
  <c r="D10" i="1"/>
  <c r="D11" i="1"/>
  <c r="D12" i="1"/>
  <c r="D13" i="1"/>
  <c r="E5" i="5"/>
  <c r="F4" i="5"/>
  <c r="F5" i="5"/>
  <c r="F6" i="5"/>
  <c r="F7" i="5"/>
  <c r="F3" i="5"/>
  <c r="F2" i="5"/>
  <c r="E4" i="5" l="1"/>
  <c r="E6" i="5"/>
  <c r="E3" i="5"/>
  <c r="E2" i="5"/>
  <c r="E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  <connection id="3" xr16:uid="{AED06A9C-A98B-49DC-8600-BB50C929982E}" name="price_2024-12-11 02.50.20" type="6" refreshedVersion="8" background="1" saveData="1">
    <textPr prompt="0" sourceFile="C:\Users\baris\OneDrive\Desktop\Uygulamalar\2- Eğitim\Github\cs2-price-tracker\Data\price_2024-12-11 02.50.20.csv" decimal="," thousands="." tab="0" comma="1">
      <textFields>
        <textField/>
      </textFields>
    </textPr>
  </connection>
  <connection id="4" xr16:uid="{41ED6490-B16E-4E53-A387-54D32117EC57}" name="price_2024-12-11 02.54.55" type="6" refreshedVersion="8" background="1" saveData="1">
    <textPr prompt="0" sourceFile="C:\Users\baris\OneDrive\Desktop\Uygulamalar\2- Eğitim\Github\cs2-price-tracker\Data\price_2024-12-11 02.54.55.csv" decimal="," thousands="." tab="0" comma="1">
      <textFields>
        <textField/>
      </textFields>
    </textPr>
  </connection>
  <connection id="5" xr16:uid="{E8701179-FE64-4A00-B1B0-C376C23E1626}" name="price_2024-12-11 03.05.40" type="6" refreshedVersion="8" background="1" saveData="1">
    <textPr prompt="0" sourceFile="C:\Users\baris\OneDrive\Desktop\Uygulamalar\2- Eğitim\Github\cs2-price-tracker\Data\price_2024-12-11 03.05.40.csv" decimal="," thousands="." tab="0" comma="1">
      <textFields>
        <textField/>
      </textFields>
    </textPr>
  </connection>
  <connection id="6" xr16:uid="{33EA0A78-C4A0-46A2-A62B-1A7F86187116}" name="price_2024-12-11 03.10.38" type="6" refreshedVersion="8" background="1" saveData="1">
    <textPr prompt="0" sourceFile="C:\Users\baris\OneDrive\Desktop\Uygulamalar\2- Eğitim\Github\cs2-price-tracker\Data\price_2024-12-11 03.10.38.csv" decimal="," thousands="." tab="0" comma="1">
      <textFields>
        <textField/>
      </textFields>
    </textPr>
  </connection>
  <connection id="7" xr16:uid="{33287B9F-F35A-4573-A1DD-4223E4CD3C36}" name="price_2024-12-11 03.16.42" type="6" refreshedVersion="8" background="1" saveData="1">
    <textPr prompt="0" sourceFile="C:\Users\baris\OneDrive\Desktop\Uygulamalar\2- Eğitim\Github\cs2-price-tracker\Data\price_2024-12-11 03.16.42.csv" decimal="," thousands="." tab="0" comma="1">
      <textFields>
        <textField/>
      </textFields>
    </textPr>
  </connection>
  <connection id="8" xr16:uid="{4A0170D2-9FD3-419B-9C1C-0E584D8543A4}" name="price_2024-12-11 03.18.27" type="6" refreshedVersion="8" background="1" saveData="1">
    <textPr prompt="0" sourceFile="C:\Users\baris\OneDrive\Desktop\Uygulamalar\2- Eğitim\Github\cs2-price-tracker\Data\price_2024-12-11 03.18.27.csv" decimal="," thousands="." tab="0" comma="1">
      <textFields>
        <textField/>
      </textFields>
    </textPr>
  </connection>
  <connection id="9" xr16:uid="{000DFA76-A994-43F3-9FDC-8DCF24DBA25F}" name="price_2024-12-11 03.24.46" type="6" refreshedVersion="8" background="1" saveData="1">
    <textPr prompt="0" codePage="65001" sourceFile="C:\Users\baris\OneDrive\Desktop\Uygulamalar\2- Eğitim\Github\cs2-price-tracker\Data\price_2024-12-11 03.24.46.csv" decimal="," thousands="." tab="0" comma="1">
      <textFields>
        <textField/>
      </textFields>
    </textPr>
  </connection>
  <connection id="10" xr16:uid="{5F5FB68E-1419-40BE-804B-F7C565F2731D}" name="price_2024-12-11 03.50.46" type="6" refreshedVersion="8" background="1" saveData="1">
    <textPr prompt="0" codePage="65001" sourceFile="C:\Users\baris\OneDrive\Desktop\Uygulamalar\2- Eğitim\Github\cs2-price-tracker\Data\price_2024-12-11 03.50.46.csv" decimal="," thousands="." tab="0" comma="1">
      <textFields>
        <textField/>
      </textFields>
    </textPr>
  </connection>
  <connection id="11" xr16:uid="{B790EF91-53B1-4C6D-967E-2F5C61085679}" name="price_2024-12-11 03.58.201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/>
      </textFields>
    </textPr>
  </connection>
  <connection id="12" xr16:uid="{FDB8A739-6DB6-47CE-9988-51B352B68DAF}" name="price_2024-12-11 03.58.202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3" xr16:uid="{19F55246-4769-4927-8AD4-4A3DEDDCA723}" name="price_2024-12-11 03.58.203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4" xr16:uid="{F3CAFB99-EBDD-4C3B-A4B6-6322B8F768D4}" name="price_2024-12-11 03.58.204" type="6" refreshedVersion="8" background="1" saveData="1">
    <textPr prompt="0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5" xr16:uid="{2EB189AB-E7B9-4491-9E25-EC45F32F8310}" name="price_2024-12-11 03.58.205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6" xr16:uid="{FC12B70B-A4C2-4D5F-A01A-CD7919FD6564}" name="price_2024-12-11 03.58.206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7" xr16:uid="{ECCCF0AE-813A-491C-8382-D044D338A740}" name="price_2024-12-11 03.58.207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YDM"/>
      </textFields>
    </textPr>
  </connection>
  <connection id="18" xr16:uid="{9F9F0AA4-36AD-420A-B61E-767C567E04EB}" name="price_2024-12-11 03.58.208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19" xr16:uid="{AD2845E4-1D19-47CB-9185-30FAB039B2DA}" name="price_2024-12-11 04.18.23" type="6" refreshedVersion="8" background="1" saveData="1">
    <textPr prompt="0" codePage="65001" sourceFile="C:\Users\baris\OneDrive\Desktop\Uygulamalar\2- Eğitim\Github\cs2-price-tracker\Data\price_2024-12-11 04.18.23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0" xr16:uid="{E45D4920-9415-435B-8417-465B38B0B868}" name="price_2024-12-11 14.09.58" type="6" refreshedVersion="8" background="1" saveData="1">
    <textPr prompt="0" codePage="65001" sourceFile="C:\Users\baris\OneDrive\Desktop\Uygulamalar\2- Eğitim\Github\cs2-price-tracker\Data\price_2024-12-11 14.09.58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1" xr16:uid="{71C529A8-3D7A-482B-B64D-2EE692EE20E8}" keepAlive="1" name="Sorgu - price_2024-12-11 03 18 27" description="Çalışma kitabındaki 'price_2024-12-11 03 18 27' sorgusuna yönelik bağlantı." type="5" refreshedVersion="0" background="1">
    <dbPr connection="Provider=Microsoft.Mashup.OleDb.1;Data Source=$Workbook$;Location=&quot;price_2024-12-11 03 18 27&quot;;Extended Properties=&quot;&quot;" command="SELECT * FROM [price_2024-12-11 03 18 27]"/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<sst xmlns="http://schemas.openxmlformats.org/spreadsheetml/2006/main" count="163" uniqueCount="100">
  <si>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</si>
  <si>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</si>
  <si>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</si>
  <si>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</si>
  <si>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</si>
  <si>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</si>
  <si>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</si>
  <si>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</si>
  <si>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</si>
  <si>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</si>
  <si>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</si>
  <si>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</si>
  <si>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</si>
  <si>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</si>
  <si>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</si>
  <si>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</si>
  <si>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</si>
  <si>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</si>
  <si>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XM1014 | Quicksilver (Battle-Scarred)</t>
  </si>
  <si>
    <t>Desert Eagle | Heat Treated (Well-Worn)</t>
  </si>
  <si>
    <t>P250 | Whiteout (Minimal Wear)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</si>
  <si>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</si>
  <si>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</si>
  <si>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</si>
  <si>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</si>
  <si>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SG 553 | Aloha (Field-Tested)</t>
  </si>
  <si>
    <t>MP9 | Black Sand (Field-Tested)</t>
  </si>
  <si>
    <t>R8 Revolver | Grip (Field-Tested)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</si>
  <si>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</si>
  <si>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</si>
  <si>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</si>
  <si>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</si>
  <si>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</si>
  <si>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</si>
  <si>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</si>
  <si>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</si>
  <si>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</si>
  <si>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</si>
  <si>
    <t>Currency:</t>
  </si>
  <si>
    <t>USD</t>
  </si>
  <si>
    <t>GBP</t>
  </si>
  <si>
    <t>EUR</t>
  </si>
  <si>
    <t>CHF</t>
  </si>
  <si>
    <t>RUB</t>
  </si>
  <si>
    <t>PLN</t>
  </si>
  <si>
    <t>BRL</t>
  </si>
  <si>
    <t>JPY</t>
  </si>
  <si>
    <t>NOK</t>
  </si>
  <si>
    <t>IDR</t>
  </si>
  <si>
    <t>MYR</t>
  </si>
  <si>
    <t>PHP</t>
  </si>
  <si>
    <t>SGD</t>
  </si>
  <si>
    <t>THB</t>
  </si>
  <si>
    <t>VND</t>
  </si>
  <si>
    <t>KRW</t>
  </si>
  <si>
    <t>UAH</t>
  </si>
  <si>
    <t>MXN</t>
  </si>
  <si>
    <t>CAD</t>
  </si>
  <si>
    <t>AUD</t>
  </si>
  <si>
    <t>NZD</t>
  </si>
  <si>
    <t>CNY</t>
  </si>
  <si>
    <t>INR</t>
  </si>
  <si>
    <t>CLP</t>
  </si>
  <si>
    <t>PEN</t>
  </si>
  <si>
    <t>COP</t>
  </si>
  <si>
    <t>ZAR</t>
  </si>
  <si>
    <t>HKD</t>
  </si>
  <si>
    <t>TWD</t>
  </si>
  <si>
    <t>SAR</t>
  </si>
  <si>
    <t>AED</t>
  </si>
  <si>
    <t>ILS</t>
  </si>
  <si>
    <t>KZT</t>
  </si>
  <si>
    <t>KWD</t>
  </si>
  <si>
    <t>QAR</t>
  </si>
  <si>
    <t>CRC</t>
  </si>
  <si>
    <t>UYU</t>
  </si>
  <si>
    <t>Enter your currency. If left blank it</t>
  </si>
  <si>
    <t>will automaticly select USD.</t>
  </si>
  <si>
    <t>Price not available</t>
  </si>
  <si>
    <t>Volume not available</t>
  </si>
  <si>
    <t>1</t>
  </si>
  <si>
    <t>Type</t>
  </si>
  <si>
    <t>$0.50</t>
  </si>
  <si>
    <t>$3.06</t>
  </si>
  <si>
    <t>$3.05</t>
  </si>
  <si>
    <t>225</t>
  </si>
  <si>
    <t>$146.05</t>
  </si>
  <si>
    <t>$51.57</t>
  </si>
  <si>
    <t>$49.32</t>
  </si>
  <si>
    <t>$122.90</t>
  </si>
  <si>
    <t>$0.10</t>
  </si>
  <si>
    <t>272</t>
  </si>
  <si>
    <t>$0.07</t>
  </si>
  <si>
    <t>243</t>
  </si>
  <si>
    <t>$0.11</t>
  </si>
  <si>
    <t>160</t>
  </si>
  <si>
    <t>$0.09</t>
  </si>
  <si>
    <t>165</t>
  </si>
  <si>
    <t>279</t>
  </si>
  <si>
    <t>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</si>
</sst>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[$€-1];[Red]\-#,##0.00\ [$€-1]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AD00"/>
        <bgColor rgb="FFFFC107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4" borderId="0" xfId="0" applyFill="1"/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wrapText="1"/>
    </xf>
    <xf numFmtId="49" fontId="6" fillId="5" borderId="0" xfId="0" applyNumberFormat="1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wrapText="1"/>
    </xf>
    <xf numFmtId="4" fontId="0" fillId="0" borderId="0" xfId="0" applyNumberFormat="1" applyAlignment="1">
      <alignment horizontal="right"/>
    </xf>
    <xf numFmtId="49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7919CB7C-173A-F558-11AC-05595215A0A3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6F7A83F7-2E21-4E64-8657-8F718E71BA3B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06BFE587-1DB1-4A4A-B7D9-3A2B159996E5}"/>
            </a:ext>
          </a:extLst>
        </xdr:cNvPr>
        <xdr:cNvSpPr/>
      </xdr:nvSpPr>
      <xdr:spPr>
        <a:xfrm>
          <a:off x="285750" y="215382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2" connectionId="20" xr16:uid="{BCBE9942-B13D-4D36-93D6-CADE2933D87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0" xr16:uid="{F79A2C23-1804-4919-8AB2-5D9F9FDD3E71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" connectionId="4" xr16:uid="{252786C8-111A-454F-9C4E-AC6F0AAFE93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7" xr16:uid="{B40D172C-594F-496F-B0B2-B024056421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2" xr16:uid="{47A3B270-E41D-427F-ABF9-ECC8FB97830E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3" xr16:uid="{28191344-722F-4D6F-9F5B-55BC5F0AD7B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" xr16:uid="{779137B6-ADDA-43C9-A275-C814F789C7B6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5" xr16:uid="{F86BB46B-4B0D-4E45-9B16-AE704DC4349C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17" xr16:uid="{8B983012-63B6-45BC-8A60-EC270E25D0F6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13" xr16:uid="{1D3957D9-2DB3-4474-B96D-07DE27F1CF6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16" xr16:uid="{8E8D30DB-6952-45AE-95B9-2C988FC82F26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1" connectionId="19" xr16:uid="{D457103E-2137-47FC-9123-63A186D0D36C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8" xr16:uid="{5C41CC49-6374-4DCB-90D2-ADD0C08AD21C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9" xr16:uid="{082F8602-3A7A-4D90-AB78-DEE7AF2CC4F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14" xr16:uid="{B607D4CC-E918-41D8-A569-3B90460CCF8F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8" xr16:uid="{8C66E865-19C5-4142-BCE7-C2B3CCEC1216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11" xr16:uid="{C66B0D8C-3FB7-4BC4-AE42-5578DFC602EE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15" xr16:uid="{5CFAA6FA-810A-40C4-BDE6-AAF790932FD5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B1:F13" totalsRowShown="0" headerRowDxfId="5">
  <autoFilter ref="B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Type"/>
    <tableColumn id="2" xr3:uid="{3289CEFC-EDF7-47D8-A9DB-EC6EA4BBEC49}" name="Full Name"/>
    <tableColumn id="3" xr3:uid="{0ED81F7B-6835-4879-804C-6A6880E9773F}" name="Lowest Price" dataDxfId="4">
      <calculatedColumnFormula>VLOOKUP(DataTable[[#This Row],[Full Name]],'Item Data'!DışVeri_2,2,FALSE)</calculatedColumnFormula>
    </tableColumn>
    <tableColumn id="4" xr3:uid="{696A0051-45B9-4D53-9BE8-189817EACFC3}" name="Median Price" dataDxfId="3">
      <calculatedColumnFormula>VLOOKUP(DataTable[[#This Row],[Full Name]],'Item Data'!DışVeri_2,3,FALSE)</calculatedColumnFormula>
    </tableColumn>
    <tableColumn id="5" xr3:uid="{B52FF518-407C-43A8-976B-344F3C9E941D}" name="Volume" dataDxfId="2">
      <calculatedColumnFormula>VLOOKUP(DataTable[[#This Row],[Full Name]],'Item Data'!DışVeri_2,4,FALSE)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B1:F7" totalsRowShown="0">
  <autoFilter ref="B1:F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1">
      <calculatedColumnFormula>VLOOKUP(Tablo3[[#This Row],[Weapon]],#REF!,3,)</calculatedColumnFormula>
    </tableColumn>
    <tableColumn id="4" xr3:uid="{F3399739-2EB4-40CF-9E7B-3547B603F375}" name="Median Price" dataDxfId="0">
      <calculatedColumnFormula>VLOOKUP(Tablo3[[#This Row],[Weapon]],#REF!,4,)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A1:Y38"/>
  <sheetViews>
    <sheetView tabSelected="1" zoomScaleNormal="100" workbookViewId="0">
      <selection activeCell="B1" sqref="B1"/>
    </sheetView>
  </sheetViews>
  <sheetFormatPr defaultRowHeight="15" x14ac:dyDescent="0.25"/>
  <cols>
    <col min="1" max="1" width="30.7109375" style="8" customWidth="1"/>
    <col min="2" max="2" width="9.5703125" style="1" customWidth="1"/>
    <col min="3" max="3" width="9.140625" style="1" customWidth="1"/>
    <col min="4" max="4" width="9.140625" style="1"/>
    <col min="5" max="6" width="9.140625" style="1" customWidth="1"/>
    <col min="7" max="11" width="9.140625" style="1"/>
    <col min="12" max="12" width="10" style="1" customWidth="1"/>
    <col min="13" max="13" width="2.28515625" style="1" customWidth="1"/>
    <col min="14" max="14" width="4.42578125" style="1" customWidth="1"/>
    <col min="15" max="21" width="9.140625" style="1"/>
    <col min="22" max="22" width="17.28515625" style="1" customWidth="1"/>
    <col min="23" max="24" width="9.140625" style="1"/>
    <col min="25" max="25" width="0" style="1" hidden="1" customWidth="1"/>
    <col min="26" max="16384" width="9.140625" style="1"/>
  </cols>
  <sheetData>
    <row r="1" spans="3:25" ht="15.75" customHeight="1" thickBot="1" x14ac:dyDescent="0.3"/>
    <row r="2" spans="3:25" x14ac:dyDescent="0.25">
      <c r="C2" s="17" t="s">
        <v>3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9"/>
      <c r="Y2" s="1" t="s">
        <v>39</v>
      </c>
    </row>
    <row r="3" spans="3:25" ht="15" customHeight="1" x14ac:dyDescent="0.25"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2"/>
      <c r="Y3" s="1" t="s">
        <v>40</v>
      </c>
    </row>
    <row r="4" spans="3:25" ht="15.75" customHeight="1" thickBot="1" x14ac:dyDescent="0.3">
      <c r="C4" s="23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5"/>
      <c r="Y4" s="1" t="s">
        <v>41</v>
      </c>
    </row>
    <row r="5" spans="3:25" ht="9.75" customHeight="1" x14ac:dyDescent="0.25">
      <c r="Y5" s="1" t="s">
        <v>42</v>
      </c>
    </row>
    <row r="6" spans="3:25" ht="21" x14ac:dyDescent="0.35">
      <c r="C6" s="2" t="s">
        <v>4</v>
      </c>
      <c r="E6" s="1" t="s">
        <v>5</v>
      </c>
      <c r="Y6" s="1" t="s">
        <v>43</v>
      </c>
    </row>
    <row r="7" spans="3:25" x14ac:dyDescent="0.25">
      <c r="E7" s="1" t="s">
        <v>6</v>
      </c>
      <c r="Y7" s="1" t="s">
        <v>44</v>
      </c>
    </row>
    <row r="8" spans="3:25" x14ac:dyDescent="0.25">
      <c r="Y8" s="1" t="s">
        <v>45</v>
      </c>
    </row>
    <row r="9" spans="3:25" ht="21" x14ac:dyDescent="0.35">
      <c r="E9" s="2" t="s">
        <v>7</v>
      </c>
      <c r="G9" s="1" t="s">
        <v>23</v>
      </c>
      <c r="Y9" s="1" t="s">
        <v>46</v>
      </c>
    </row>
    <row r="10" spans="3:25" x14ac:dyDescent="0.25">
      <c r="G10" s="1" t="s">
        <v>22</v>
      </c>
      <c r="Y10" s="1" t="s">
        <v>47</v>
      </c>
    </row>
    <row r="11" spans="3:25" x14ac:dyDescent="0.25">
      <c r="G11" s="1" t="s">
        <v>36</v>
      </c>
      <c r="Y11" s="1" t="s">
        <v>48</v>
      </c>
    </row>
    <row r="12" spans="3:25" x14ac:dyDescent="0.25">
      <c r="G12" s="1" t="s">
        <v>37</v>
      </c>
      <c r="Y12" s="1" t="s">
        <v>49</v>
      </c>
    </row>
    <row r="13" spans="3:25" x14ac:dyDescent="0.25">
      <c r="G13" s="1" t="s">
        <v>8</v>
      </c>
      <c r="Y13" s="1" t="s">
        <v>50</v>
      </c>
    </row>
    <row r="14" spans="3:25" ht="7.5" customHeight="1" thickBot="1" x14ac:dyDescent="0.3">
      <c r="Y14" s="1" t="s">
        <v>51</v>
      </c>
    </row>
    <row r="15" spans="3:25" ht="15.75" thickBot="1" x14ac:dyDescent="0.3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/>
      <c r="Y15" s="1" t="s">
        <v>52</v>
      </c>
    </row>
    <row r="16" spans="3:25" x14ac:dyDescent="0.25">
      <c r="Y16" s="1" t="s">
        <v>53</v>
      </c>
    </row>
    <row r="17" spans="5:25" ht="15.75" thickBot="1" x14ac:dyDescent="0.3">
      <c r="Y17" s="1" t="s">
        <v>54</v>
      </c>
    </row>
    <row r="18" spans="5:25" ht="21.75" thickBot="1" x14ac:dyDescent="0.4">
      <c r="E18" s="2" t="s">
        <v>38</v>
      </c>
      <c r="G18" s="7" t="s">
        <v>39</v>
      </c>
      <c r="Y18" s="1" t="s">
        <v>55</v>
      </c>
    </row>
    <row r="19" spans="5:25" x14ac:dyDescent="0.25">
      <c r="Y19" s="1" t="s">
        <v>56</v>
      </c>
    </row>
    <row r="20" spans="5:25" x14ac:dyDescent="0.25">
      <c r="E20" s="1" t="s">
        <v>76</v>
      </c>
      <c r="Y20" s="1" t="s">
        <v>57</v>
      </c>
    </row>
    <row r="21" spans="5:25" x14ac:dyDescent="0.25">
      <c r="E21" s="1" t="s">
        <v>77</v>
      </c>
      <c r="Y21" s="1" t="s">
        <v>58</v>
      </c>
    </row>
    <row r="22" spans="5:25" x14ac:dyDescent="0.25">
      <c r="Y22" s="1" t="s">
        <v>59</v>
      </c>
    </row>
    <row r="23" spans="5:25" x14ac:dyDescent="0.25">
      <c r="Y23" s="1" t="s">
        <v>60</v>
      </c>
    </row>
    <row r="24" spans="5:25" x14ac:dyDescent="0.25">
      <c r="Y24" s="1" t="s">
        <v>61</v>
      </c>
    </row>
    <row r="25" spans="5:25" x14ac:dyDescent="0.25">
      <c r="Y25" s="1" t="s">
        <v>62</v>
      </c>
    </row>
    <row r="26" spans="5:25" x14ac:dyDescent="0.25">
      <c r="Y26" s="1" t="s">
        <v>63</v>
      </c>
    </row>
    <row r="27" spans="5:25" x14ac:dyDescent="0.25">
      <c r="Y27" s="1" t="s">
        <v>64</v>
      </c>
    </row>
    <row r="28" spans="5:25" x14ac:dyDescent="0.25">
      <c r="Y28" s="1" t="s">
        <v>65</v>
      </c>
    </row>
    <row r="29" spans="5:25" x14ac:dyDescent="0.25">
      <c r="Y29" s="1" t="s">
        <v>66</v>
      </c>
    </row>
    <row r="30" spans="5:25" x14ac:dyDescent="0.25">
      <c r="Y30" s="1" t="s">
        <v>67</v>
      </c>
    </row>
    <row r="31" spans="5:25" x14ac:dyDescent="0.25">
      <c r="Y31" s="1" t="s">
        <v>68</v>
      </c>
    </row>
    <row r="32" spans="5:25" x14ac:dyDescent="0.25">
      <c r="Y32" s="1" t="s">
        <v>69</v>
      </c>
    </row>
    <row r="33" spans="25:25" x14ac:dyDescent="0.25">
      <c r="Y33" s="1" t="s">
        <v>70</v>
      </c>
    </row>
    <row r="34" spans="25:25" x14ac:dyDescent="0.25">
      <c r="Y34" s="1" t="s">
        <v>71</v>
      </c>
    </row>
    <row r="35" spans="25:25" x14ac:dyDescent="0.25">
      <c r="Y35" s="1" t="s">
        <v>72</v>
      </c>
    </row>
    <row r="36" spans="25:25" x14ac:dyDescent="0.25">
      <c r="Y36" s="1" t="s">
        <v>73</v>
      </c>
    </row>
    <row r="37" spans="25:25" x14ac:dyDescent="0.25">
      <c r="Y37" s="1" t="s">
        <v>74</v>
      </c>
    </row>
    <row r="38" spans="25:25" x14ac:dyDescent="0.25">
      <c r="Y38" s="1" t="s">
        <v>75</v>
      </c>
    </row>
  </sheetData>
  <mergeCells count="1">
    <mergeCell ref="C2:V4"/>
  </mergeCells>
  <dataValidations disablePrompts="1" count="1">
    <dataValidation type="list" allowBlank="1" showInputMessage="1" showErrorMessage="1" sqref="G18" xr:uid="{64AA54E0-928A-4D30-AD56-2505B57F7C37}">
      <formula1>$Y$2:$Y$38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K21"/>
  <sheetViews>
    <sheetView workbookViewId="0">
      <selection activeCell="H12" sqref="H12"/>
    </sheetView>
  </sheetViews>
  <sheetFormatPr defaultRowHeight="15" x14ac:dyDescent="0.25"/>
  <cols>
    <col min="1" max="1" width="30.7109375" style="8" customWidth="1"/>
    <col min="2" max="2" width="11.7109375" customWidth="1"/>
    <col min="3" max="3" width="52.85546875" bestFit="1" customWidth="1"/>
    <col min="4" max="4" width="17.5703125" style="15" bestFit="1" customWidth="1"/>
    <col min="5" max="5" width="17.5703125" style="10" bestFit="1" customWidth="1"/>
    <col min="6" max="6" width="19.85546875" style="10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2:11" ht="15" customHeight="1" x14ac:dyDescent="0.25">
      <c r="B1" s="6" t="s">
        <v>81</v>
      </c>
      <c r="C1" s="6" t="s">
        <v>17</v>
      </c>
      <c r="D1" s="13" t="s">
        <v>1</v>
      </c>
      <c r="E1" s="12" t="s">
        <v>2</v>
      </c>
      <c r="F1" s="12" t="s">
        <v>35</v>
      </c>
      <c r="K1" t="s">
        <v>9</v>
      </c>
    </row>
    <row r="2" spans="2:11" ht="15" customHeight="1" x14ac:dyDescent="0.25">
      <c r="B2" s="9" t="s">
        <v>10</v>
      </c>
      <c r="C2" t="s">
        <v>18</v>
      </c>
      <c r="D2" s="14" t="str">
        <f>VLOOKUP(DataTable[[#This Row],[Full Name]],'Item Data'!DışVeri_2,2,TRUE)</f>
        <v>$0.09</v>
      </c>
      <c r="E2" s="14" t="str">
        <f>VLOOKUP(DataTable[[#This Row],[Full Name]],'Item Data'!DışVeri_2,3,FALSE)</f>
        <v>Price not available</v>
      </c>
      <c r="F2" s="14" t="str">
        <f>VLOOKUP(DataTable[[#This Row],[Full Name]],'Item Data'!DışVeri_2,4,FALSE)</f>
        <v>Volume not available</v>
      </c>
      <c r="K2" t="s">
        <v>10</v>
      </c>
    </row>
    <row r="3" spans="2:11" ht="15" customHeight="1" x14ac:dyDescent="0.25">
      <c r="B3" s="9" t="s">
        <v>10</v>
      </c>
      <c r="C3" t="s">
        <v>19</v>
      </c>
      <c r="D3" s="14" t="str">
        <f>VLOOKUP(DataTable[[#This Row],[Full Name]],'Item Data'!DışVeri_2,2,FALSE)</f>
        <v>$3.06</v>
      </c>
      <c r="E3" s="14" t="str">
        <f>VLOOKUP(DataTable[[#This Row],[Full Name]],'Item Data'!DışVeri_2,3,FALSE)</f>
        <v>$3.05</v>
      </c>
      <c r="F3" s="14" t="str">
        <f>VLOOKUP(DataTable[[#This Row],[Full Name]],'Item Data'!DışVeri_2,4,FALSE)</f>
        <v>225</v>
      </c>
      <c r="K3" t="s">
        <v>11</v>
      </c>
    </row>
    <row r="4" spans="2:11" ht="15" customHeight="1" x14ac:dyDescent="0.25">
      <c r="B4" s="9" t="s">
        <v>13</v>
      </c>
      <c r="C4" t="s">
        <v>32</v>
      </c>
      <c r="D4" s="14" t="str">
        <f>VLOOKUP(DataTable[[#This Row],[Full Name]],'Item Data'!DışVeri_2,2,FALSE)</f>
        <v>$146.05</v>
      </c>
      <c r="E4" s="14" t="str">
        <f>VLOOKUP(DataTable[[#This Row],[Full Name]],'Item Data'!DışVeri_2,3,FALSE)</f>
        <v>Price not available</v>
      </c>
      <c r="F4" s="14" t="str">
        <f>VLOOKUP(DataTable[[#This Row],[Full Name]],'Item Data'!DışVeri_2,4,FALSE)</f>
        <v>Volume not available</v>
      </c>
      <c r="K4" t="s">
        <v>12</v>
      </c>
    </row>
    <row r="5" spans="2:11" ht="15" customHeight="1" x14ac:dyDescent="0.25">
      <c r="B5" t="s">
        <v>10</v>
      </c>
      <c r="C5" t="s">
        <v>20</v>
      </c>
      <c r="D5" s="14" t="str">
        <f>VLOOKUP(DataTable[[#This Row],[Full Name]],'Item Data'!DışVeri_2,2,FALSE)</f>
        <v>$51.57</v>
      </c>
      <c r="E5" s="14" t="str">
        <f>VLOOKUP(DataTable[[#This Row],[Full Name]],'Item Data'!DışVeri_2,3,FALSE)</f>
        <v>$49.32</v>
      </c>
      <c r="F5" s="14" t="str">
        <f>VLOOKUP(DataTable[[#This Row],[Full Name]],'Item Data'!DışVeri_2,4,FALSE)</f>
        <v>1</v>
      </c>
      <c r="K5" t="s">
        <v>13</v>
      </c>
    </row>
    <row r="6" spans="2:11" ht="15" customHeight="1" x14ac:dyDescent="0.25">
      <c r="B6" s="9" t="s">
        <v>10</v>
      </c>
      <c r="C6" t="s">
        <v>21</v>
      </c>
      <c r="D6" s="14" t="str">
        <f>VLOOKUP(DataTable[[#This Row],[Full Name]],'Item Data'!DışVeri_2,2,FALSE)</f>
        <v>$122.90</v>
      </c>
      <c r="E6" s="14" t="str">
        <f>VLOOKUP(DataTable[[#This Row],[Full Name]],'Item Data'!DışVeri_2,3,FALSE)</f>
        <v>Price not available</v>
      </c>
      <c r="F6" s="14" t="str">
        <f>VLOOKUP(DataTable[[#This Row],[Full Name]],'Item Data'!DışVeri_2,4,FALSE)</f>
        <v>Volume not available</v>
      </c>
      <c r="K6" t="s">
        <v>14</v>
      </c>
    </row>
    <row r="7" spans="2:11" ht="15" customHeight="1" x14ac:dyDescent="0.25">
      <c r="B7" s="9" t="s">
        <v>10</v>
      </c>
      <c r="C7" t="s">
        <v>21</v>
      </c>
      <c r="D7" s="14" t="str">
        <f>VLOOKUP(DataTable[[#This Row],[Full Name]],'Item Data'!DışVeri_2,2,FALSE)</f>
        <v>$122.90</v>
      </c>
      <c r="E7" s="14" t="str">
        <f>VLOOKUP(DataTable[[#This Row],[Full Name]],'Item Data'!DışVeri_2,3,FALSE)</f>
        <v>Price not available</v>
      </c>
      <c r="F7" s="14" t="str">
        <f>VLOOKUP(DataTable[[#This Row],[Full Name]],'Item Data'!DışVeri_2,4,FALSE)</f>
        <v>Volume not available</v>
      </c>
      <c r="K7" t="s">
        <v>15</v>
      </c>
    </row>
    <row r="8" spans="2:11" ht="15" customHeight="1" x14ac:dyDescent="0.25">
      <c r="B8" s="9" t="s">
        <v>10</v>
      </c>
      <c r="C8" t="s">
        <v>25</v>
      </c>
      <c r="D8" s="14" t="str">
        <f>VLOOKUP(DataTable[[#This Row],[Full Name]],'Item Data'!DışVeri_2,2,FALSE)</f>
        <v>$0.10</v>
      </c>
      <c r="E8" s="14" t="str">
        <f>VLOOKUP(DataTable[[#This Row],[Full Name]],'Item Data'!DışVeri_2,3,FALSE)</f>
        <v>$0.10</v>
      </c>
      <c r="F8" s="14" t="str">
        <f>VLOOKUP(DataTable[[#This Row],[Full Name]],'Item Data'!DışVeri_2,4,FALSE)</f>
        <v>272</v>
      </c>
      <c r="K8" t="s">
        <v>16</v>
      </c>
    </row>
    <row r="9" spans="2:11" ht="15" customHeight="1" x14ac:dyDescent="0.25">
      <c r="B9" s="9" t="s">
        <v>10</v>
      </c>
      <c r="C9" t="s">
        <v>26</v>
      </c>
      <c r="D9" s="14" t="str">
        <f>VLOOKUP(DataTable[[#This Row],[Full Name]],'Item Data'!DışVeri_2,2,FALSE)</f>
        <v>$0.10</v>
      </c>
      <c r="E9" s="14" t="str">
        <f>VLOOKUP(DataTable[[#This Row],[Full Name]],'Item Data'!DışVeri_2,3,FALSE)</f>
        <v>$0.07</v>
      </c>
      <c r="F9" s="14" t="str">
        <f>VLOOKUP(DataTable[[#This Row],[Full Name]],'Item Data'!DışVeri_2,4,FALSE)</f>
        <v>243</v>
      </c>
    </row>
    <row r="10" spans="2:11" ht="15" customHeight="1" x14ac:dyDescent="0.25">
      <c r="B10" s="9" t="s">
        <v>10</v>
      </c>
      <c r="C10" t="s">
        <v>27</v>
      </c>
      <c r="D10" s="15" t="str">
        <f>VLOOKUP(DataTable[[#This Row],[Full Name]],'Item Data'!DışVeri_2,2,FALSE)</f>
        <v>$0.11</v>
      </c>
      <c r="E10" s="14" t="str">
        <f>VLOOKUP(DataTable[[#This Row],[Full Name]],'Item Data'!DışVeri_2,3,FALSE)</f>
        <v>$0.10</v>
      </c>
      <c r="F10" s="14" t="str">
        <f>VLOOKUP(DataTable[[#This Row],[Full Name]],'Item Data'!DışVeri_2,4,FALSE)</f>
        <v>160</v>
      </c>
    </row>
    <row r="11" spans="2:11" ht="15" customHeight="1" x14ac:dyDescent="0.25">
      <c r="B11" t="s">
        <v>10</v>
      </c>
      <c r="C11" t="s">
        <v>28</v>
      </c>
      <c r="D11" s="14" t="str">
        <f>VLOOKUP(DataTable[[#This Row],[Full Name]],'Item Data'!DışVeri_2,2,FALSE)</f>
        <v>$0.11</v>
      </c>
      <c r="E11" s="14" t="str">
        <f>VLOOKUP(DataTable[[#This Row],[Full Name]],'Item Data'!DışVeri_2,3,FALSE)</f>
        <v>$0.09</v>
      </c>
      <c r="F11" s="14" t="str">
        <f>VLOOKUP(DataTable[[#This Row],[Full Name]],'Item Data'!DışVeri_2,4,FALSE)</f>
        <v>165</v>
      </c>
    </row>
    <row r="12" spans="2:11" ht="15" customHeight="1" x14ac:dyDescent="0.25">
      <c r="B12" t="s">
        <v>10</v>
      </c>
      <c r="C12" t="s">
        <v>29</v>
      </c>
      <c r="D12" s="14" t="str">
        <f>VLOOKUP(DataTable[[#This Row],[Full Name]],'Item Data'!DışVeri_2,2,FALSE)</f>
        <v>$0.11</v>
      </c>
      <c r="E12" s="14" t="str">
        <f>VLOOKUP(DataTable[[#This Row],[Full Name]],'Item Data'!DışVeri_2,3,FALSE)</f>
        <v>$0.11</v>
      </c>
      <c r="F12" s="14" t="str">
        <f>VLOOKUP(DataTable[[#This Row],[Full Name]],'Item Data'!DışVeri_2,4,FALSE)</f>
        <v>279</v>
      </c>
    </row>
    <row r="13" spans="2:11" x14ac:dyDescent="0.25">
      <c r="B13" t="s">
        <v>10</v>
      </c>
      <c r="C13" t="s">
        <v>30</v>
      </c>
      <c r="D13" s="15" t="str">
        <f>VLOOKUP(DataTable[[#This Row],[Full Name]],'Item Data'!DışVeri_2,2,FALSE)</f>
        <v>$0.09</v>
      </c>
      <c r="E13" s="14" t="str">
        <f>VLOOKUP(DataTable[[#This Row],[Full Name]],'Item Data'!DışVeri_2,3,FALSE)</f>
        <v>$0.10</v>
      </c>
      <c r="F13" s="14" t="str">
        <f>VLOOKUP(DataTable[[#This Row],[Full Name]],'Item Data'!DışVeri_2,4,FALSE)</f>
        <v>130</v>
      </c>
    </row>
    <row r="20" spans="5:5" x14ac:dyDescent="0.25">
      <c r="E20" s="11"/>
    </row>
    <row r="21" spans="5:5" x14ac:dyDescent="0.25">
      <c r="E21" s="11"/>
    </row>
  </sheetData>
  <phoneticPr fontId="4" type="noConversion"/>
  <dataValidations count="1">
    <dataValidation type="list" allowBlank="1" showInputMessage="1" showErrorMessage="1" sqref="B2:B1048576" xr:uid="{F8E9E550-C9FF-4437-A2B8-F6C1F4EA2210}">
      <formula1>$K$2:$K$8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F7"/>
  <sheetViews>
    <sheetView workbookViewId="0">
      <selection activeCell="D31" sqref="D31"/>
    </sheetView>
  </sheetViews>
  <sheetFormatPr defaultRowHeight="15" x14ac:dyDescent="0.25"/>
  <cols>
    <col min="1" max="1" width="30.7109375" style="8" customWidth="1"/>
    <col min="2" max="2" width="10.42578125" bestFit="1" customWidth="1"/>
    <col min="3" max="3" width="33.42578125" bestFit="1" customWidth="1"/>
    <col min="4" max="4" width="7.5703125" customWidth="1"/>
    <col min="5" max="5" width="12.42578125" bestFit="1" customWidth="1"/>
    <col min="6" max="6" width="12.5703125" bestFit="1" customWidth="1"/>
  </cols>
  <sheetData>
    <row r="1" spans="2:6" x14ac:dyDescent="0.25">
      <c r="B1" t="s">
        <v>33</v>
      </c>
      <c r="C1" t="s">
        <v>10</v>
      </c>
      <c r="D1" t="s">
        <v>24</v>
      </c>
      <c r="E1" t="s">
        <v>1</v>
      </c>
      <c r="F1" t="s">
        <v>2</v>
      </c>
    </row>
    <row r="2" spans="2:6" x14ac:dyDescent="0.25">
      <c r="B2" t="s">
        <v>34</v>
      </c>
      <c r="C2" t="s">
        <v>25</v>
      </c>
      <c r="D2" t="s">
        <v>31</v>
      </c>
      <c r="E2" t="e">
        <f>VLOOKUP(Tablo3[[#This Row],[Weapon]],#REF!,3,)</f>
        <v>#REF!</v>
      </c>
      <c r="F2" t="e">
        <f>VLOOKUP(Tablo3[[#This Row],[Weapon]],#REF!,4,)</f>
        <v>#REF!</v>
      </c>
    </row>
    <row r="3" spans="2:6" x14ac:dyDescent="0.25">
      <c r="B3" t="s">
        <v>34</v>
      </c>
      <c r="C3" t="s">
        <v>26</v>
      </c>
      <c r="D3" t="s">
        <v>31</v>
      </c>
      <c r="E3" t="e">
        <f>VLOOKUP(Tablo3[[#This Row],[Weapon]],#REF!,3,)</f>
        <v>#REF!</v>
      </c>
      <c r="F3" t="e">
        <f>VLOOKUP(Tablo3[[#This Row],[Weapon]],#REF!,4,)</f>
        <v>#REF!</v>
      </c>
    </row>
    <row r="4" spans="2:6" x14ac:dyDescent="0.25">
      <c r="B4" t="s">
        <v>34</v>
      </c>
      <c r="C4" t="s">
        <v>27</v>
      </c>
      <c r="D4" t="s">
        <v>31</v>
      </c>
      <c r="E4" t="e">
        <f>VLOOKUP(Tablo3[[#This Row],[Weapon]],#REF!,3,)</f>
        <v>#REF!</v>
      </c>
      <c r="F4" t="e">
        <f>VLOOKUP(Tablo3[[#This Row],[Weapon]],#REF!,4,)</f>
        <v>#REF!</v>
      </c>
    </row>
    <row r="5" spans="2:6" x14ac:dyDescent="0.25">
      <c r="B5" t="s">
        <v>34</v>
      </c>
      <c r="C5" t="s">
        <v>28</v>
      </c>
      <c r="D5" t="s">
        <v>31</v>
      </c>
      <c r="E5" t="e">
        <f>VLOOKUP(Tablo3[[#This Row],[Weapon]],#REF!,3,)</f>
        <v>#REF!</v>
      </c>
      <c r="F5" t="e">
        <f>VLOOKUP(Tablo3[[#This Row],[Weapon]],#REF!,4,)</f>
        <v>#REF!</v>
      </c>
    </row>
    <row r="6" spans="2:6" x14ac:dyDescent="0.25">
      <c r="B6" t="s">
        <v>34</v>
      </c>
      <c r="C6" t="s">
        <v>29</v>
      </c>
      <c r="D6" t="s">
        <v>31</v>
      </c>
      <c r="E6" t="e">
        <f>VLOOKUP(Tablo3[[#This Row],[Weapon]],#REF!,3,)</f>
        <v>#REF!</v>
      </c>
      <c r="F6" t="e">
        <f>VLOOKUP(Tablo3[[#This Row],[Weapon]],#REF!,4,)</f>
        <v>#REF!</v>
      </c>
    </row>
    <row r="7" spans="2:6" x14ac:dyDescent="0.25">
      <c r="B7" t="s">
        <v>34</v>
      </c>
      <c r="C7" t="s">
        <v>30</v>
      </c>
      <c r="D7" t="s">
        <v>31</v>
      </c>
      <c r="E7" t="e">
        <f>VLOOKUP(Tablo3[[#This Row],[Weapon]],#REF!,3,)</f>
        <v>#REF!</v>
      </c>
      <c r="F7" t="e">
        <f>VLOOKUP(Tablo3[[#This Row],[Weapon]],#REF!,4,)</f>
        <v>#REF!</v>
      </c>
    </row>
  </sheetData>
  <phoneticPr fontId="4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C2:C7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C18" sqref="C18"/>
    </sheetView>
  </sheetViews>
  <sheetFormatPr defaultRowHeight="15" x14ac:dyDescent="0.25"/>
  <cols>
    <col min="1" max="1" width="52.85546875" bestFit="1" customWidth="1"/>
    <col min="2" max="2" width="11.85546875" bestFit="1" customWidth="1"/>
    <col min="3" max="3" width="17.5703125" bestFit="1" customWidth="1"/>
    <col min="4" max="4" width="19.85546875" bestFit="1" customWidth="1"/>
  </cols>
  <sheetData>
    <row r="1" spans="1:4" x14ac:dyDescent="0.25">
      <c r="A1" s="16" t="s">
        <v>0</v>
      </c>
      <c r="B1" s="16" t="s">
        <v>1</v>
      </c>
      <c r="C1" s="16" t="s">
        <v>2</v>
      </c>
      <c r="D1" s="16" t="s">
        <v>35</v>
      </c>
    </row>
    <row r="2" spans="1:4" x14ac:dyDescent="0.25">
      <c r="A2" s="16" t="s">
        <v>18</v>
      </c>
      <c r="B2" s="16" t="s">
        <v>82</v>
      </c>
      <c r="C2" s="16" t="s">
        <v>78</v>
      </c>
      <c r="D2" s="16" t="s">
        <v>79</v>
      </c>
    </row>
    <row r="3" spans="1:4" x14ac:dyDescent="0.25">
      <c r="A3" s="16" t="s">
        <v>19</v>
      </c>
      <c r="B3" s="16" t="s">
        <v>83</v>
      </c>
      <c r="C3" s="16" t="s">
        <v>84</v>
      </c>
      <c r="D3" s="16" t="s">
        <v>85</v>
      </c>
    </row>
    <row r="4" spans="1:4" x14ac:dyDescent="0.25">
      <c r="A4" s="16" t="s">
        <v>32</v>
      </c>
      <c r="B4" s="16" t="s">
        <v>86</v>
      </c>
      <c r="C4" s="16" t="s">
        <v>78</v>
      </c>
      <c r="D4" s="16" t="s">
        <v>79</v>
      </c>
    </row>
    <row r="5" spans="1:4" x14ac:dyDescent="0.25">
      <c r="A5" s="16" t="s">
        <v>20</v>
      </c>
      <c r="B5" s="16" t="s">
        <v>87</v>
      </c>
      <c r="C5" s="16" t="s">
        <v>88</v>
      </c>
      <c r="D5" s="16" t="s">
        <v>80</v>
      </c>
    </row>
    <row r="6" spans="1:4" x14ac:dyDescent="0.25">
      <c r="A6" s="16" t="s">
        <v>21</v>
      </c>
      <c r="B6" s="16" t="s">
        <v>89</v>
      </c>
      <c r="C6" s="16" t="s">
        <v>78</v>
      </c>
      <c r="D6" s="16" t="s">
        <v>79</v>
      </c>
    </row>
    <row r="7" spans="1:4" x14ac:dyDescent="0.25">
      <c r="A7" s="16" t="s">
        <v>21</v>
      </c>
      <c r="B7" s="16" t="s">
        <v>89</v>
      </c>
      <c r="C7" s="16" t="s">
        <v>78</v>
      </c>
      <c r="D7" s="16" t="s">
        <v>79</v>
      </c>
    </row>
    <row r="8" spans="1:4" x14ac:dyDescent="0.25">
      <c r="A8" s="16" t="s">
        <v>25</v>
      </c>
      <c r="B8" s="16" t="s">
        <v>90</v>
      </c>
      <c r="C8" s="16" t="s">
        <v>90</v>
      </c>
      <c r="D8" s="16" t="s">
        <v>91</v>
      </c>
    </row>
    <row r="9" spans="1:4" x14ac:dyDescent="0.25">
      <c r="A9" s="16" t="s">
        <v>26</v>
      </c>
      <c r="B9" s="16" t="s">
        <v>90</v>
      </c>
      <c r="C9" s="16" t="s">
        <v>92</v>
      </c>
      <c r="D9" s="16" t="s">
        <v>93</v>
      </c>
    </row>
    <row r="10" spans="1:4" x14ac:dyDescent="0.25">
      <c r="A10" s="16" t="s">
        <v>27</v>
      </c>
      <c r="B10" s="16" t="s">
        <v>94</v>
      </c>
      <c r="C10" s="16" t="s">
        <v>90</v>
      </c>
      <c r="D10" s="16" t="s">
        <v>95</v>
      </c>
    </row>
    <row r="11" spans="1:4" x14ac:dyDescent="0.25">
      <c r="A11" s="16" t="s">
        <v>28</v>
      </c>
      <c r="B11" s="16" t="s">
        <v>94</v>
      </c>
      <c r="C11" s="16" t="s">
        <v>96</v>
      </c>
      <c r="D11" s="16" t="s">
        <v>97</v>
      </c>
    </row>
    <row r="12" spans="1:4" x14ac:dyDescent="0.25">
      <c r="A12" s="16" t="s">
        <v>29</v>
      </c>
      <c r="B12" s="16" t="s">
        <v>94</v>
      </c>
      <c r="C12" s="16" t="s">
        <v>94</v>
      </c>
      <c r="D12" s="16" t="s">
        <v>98</v>
      </c>
    </row>
    <row r="13" spans="1:4" x14ac:dyDescent="0.25">
      <c r="A13" s="16" t="s">
        <v>30</v>
      </c>
      <c r="B13" s="16" t="s">
        <v>96</v>
      </c>
      <c r="C13" s="16" t="s">
        <v>90</v>
      </c>
      <c r="D13" s="16" t="s">
        <v>99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20</vt:i4>
      </vt:variant>
    </vt:vector>
  </HeadingPairs>
  <TitlesOfParts>
    <vt:vector size="24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Data'!DışVeri_13</vt:lpstr>
      <vt:lpstr>'Item Data'!DışVeri_14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Data'!DışVeri_21</vt:lpstr>
      <vt:lpstr>'Item Data'!DışVeri_22</vt:lpstr>
      <vt:lpstr>'Item Data'!DışVeri_3</vt:lpstr>
      <vt:lpstr>'Item Data'!DışVeri_4</vt:lpstr>
      <vt:lpstr>'Item Data'!DışVeri_5</vt:lpstr>
      <vt:lpstr>'Item Data'!DışVeri_6</vt:lpstr>
      <vt:lpstr>'Item Data'!DışVeri_7</vt:lpstr>
      <vt:lpstr>'Item Data'!DışVeri_8</vt:lpstr>
      <vt:lpstr>'Item Data'!DışVeri_9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2024-12-11T11:10:13Z</dcterms:modified>
</cp:coreProperties>
</file>